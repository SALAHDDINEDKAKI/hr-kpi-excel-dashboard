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mc:AlternateContent xmlns:mc="http://schemas.openxmlformats.org/markup-compatibility/2006">
    <mc:Choice Requires="x15">
      <x15ac:absPath xmlns:x15ac="http://schemas.microsoft.com/office/spreadsheetml/2010/11/ac" url="C:\Users\The Moor\Desktop\Project\hr-kpi-excel-dashboard\"/>
    </mc:Choice>
  </mc:AlternateContent>
  <bookViews>
    <workbookView xWindow="0" yWindow="0" windowWidth="20490" windowHeight="9045" activeTab="1"/>
  </bookViews>
  <sheets>
    <sheet name="Raw Data" sheetId="1" r:id="rId1"/>
    <sheet name="Dashboard" sheetId="2" r:id="rId2"/>
  </sheets>
  <definedNames>
    <definedName name="Slicer_Department">#N/A</definedName>
  </definedNames>
  <calcPr calcId="152511"/>
  <pivotCaches>
    <pivotCache cacheId="0"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Lst>
</workbook>
</file>

<file path=xl/calcChain.xml><?xml version="1.0" encoding="utf-8"?>
<calcChain xmlns="http://schemas.openxmlformats.org/spreadsheetml/2006/main">
  <c r="B11" i="2" l="1"/>
  <c r="B12" i="2"/>
  <c r="B13" i="2"/>
  <c r="B14" i="2"/>
  <c r="B10" i="2"/>
  <c r="B7" i="2"/>
  <c r="B6" i="2"/>
  <c r="B2" i="2"/>
  <c r="B1" i="2"/>
  <c r="M3" i="1" l="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 i="1"/>
  <c r="B4" i="2" l="1"/>
</calcChain>
</file>

<file path=xl/sharedStrings.xml><?xml version="1.0" encoding="utf-8"?>
<sst xmlns="http://schemas.openxmlformats.org/spreadsheetml/2006/main" count="1674" uniqueCount="537">
  <si>
    <t>EmployeeID</t>
  </si>
  <si>
    <t>FirstName</t>
  </si>
  <si>
    <t>LastName</t>
  </si>
  <si>
    <t>Department</t>
  </si>
  <si>
    <t>JobTitle</t>
  </si>
  <si>
    <t>Gender</t>
  </si>
  <si>
    <t>Age</t>
  </si>
  <si>
    <t>HireDate</t>
  </si>
  <si>
    <t>TerminationDate</t>
  </si>
  <si>
    <t>EmploymentStatus</t>
  </si>
  <si>
    <t>AnnualSalary</t>
  </si>
  <si>
    <t>PerformanceRating</t>
  </si>
  <si>
    <t>E1001</t>
  </si>
  <si>
    <t>Anna</t>
  </si>
  <si>
    <t>Hoffmann</t>
  </si>
  <si>
    <t>Marketing</t>
  </si>
  <si>
    <t>Marketing Specialist</t>
  </si>
  <si>
    <t>Female</t>
  </si>
  <si>
    <t>2024-04-04</t>
  </si>
  <si>
    <t>Active</t>
  </si>
  <si>
    <t>E1002</t>
  </si>
  <si>
    <t>Max</t>
  </si>
  <si>
    <t>Mueller</t>
  </si>
  <si>
    <t>Sales</t>
  </si>
  <si>
    <t>Sales Rep</t>
  </si>
  <si>
    <t>Male</t>
  </si>
  <si>
    <t>2021-08-31</t>
  </si>
  <si>
    <t>2021-11-23</t>
  </si>
  <si>
    <t>Terminated</t>
  </si>
  <si>
    <t>E1003</t>
  </si>
  <si>
    <t>David</t>
  </si>
  <si>
    <t>Wolf</t>
  </si>
  <si>
    <t>Finance</t>
  </si>
  <si>
    <t>Accountant</t>
  </si>
  <si>
    <t>2024-07-05</t>
  </si>
  <si>
    <t>E1004</t>
  </si>
  <si>
    <t>Sophie</t>
  </si>
  <si>
    <t>Koch</t>
  </si>
  <si>
    <t>2017-01-31</t>
  </si>
  <si>
    <t>E1005</t>
  </si>
  <si>
    <t>Lisa</t>
  </si>
  <si>
    <t>Financial Analyst</t>
  </si>
  <si>
    <t>2016-11-18</t>
  </si>
  <si>
    <t>2020-04-01</t>
  </si>
  <si>
    <t>E1006</t>
  </si>
  <si>
    <t>Tom</t>
  </si>
  <si>
    <t>Wagner</t>
  </si>
  <si>
    <t>Customer Support</t>
  </si>
  <si>
    <t>Support Agent</t>
  </si>
  <si>
    <t>2023-06-01</t>
  </si>
  <si>
    <t>E1007</t>
  </si>
  <si>
    <t>Sofia</t>
  </si>
  <si>
    <t>Fischer</t>
  </si>
  <si>
    <t>Human Resources</t>
  </si>
  <si>
    <t>Recruiter</t>
  </si>
  <si>
    <t>2023-02-16</t>
  </si>
  <si>
    <t>E1008</t>
  </si>
  <si>
    <t>Hannah</t>
  </si>
  <si>
    <t>2023-02-13</t>
  </si>
  <si>
    <t>E1009</t>
  </si>
  <si>
    <t>Emma</t>
  </si>
  <si>
    <t>Richter</t>
  </si>
  <si>
    <t>Engineering</t>
  </si>
  <si>
    <t>Engineering Manager</t>
  </si>
  <si>
    <t>2018-06-18</t>
  </si>
  <si>
    <t>E1010</t>
  </si>
  <si>
    <t>Mia</t>
  </si>
  <si>
    <t>2018-05-14</t>
  </si>
  <si>
    <t>2026-07-01</t>
  </si>
  <si>
    <t>E1011</t>
  </si>
  <si>
    <t>Tim</t>
  </si>
  <si>
    <t>Content Strategist</t>
  </si>
  <si>
    <t>2018-10-07</t>
  </si>
  <si>
    <t>2024-11-21</t>
  </si>
  <si>
    <t>E1012</t>
  </si>
  <si>
    <t>Finn</t>
  </si>
  <si>
    <t>Braun</t>
  </si>
  <si>
    <t>2017-07-20</t>
  </si>
  <si>
    <t>2023-03-02</t>
  </si>
  <si>
    <t>E1013</t>
  </si>
  <si>
    <t>Laura</t>
  </si>
  <si>
    <t>Meyer</t>
  </si>
  <si>
    <t>Operations</t>
  </si>
  <si>
    <t>Operations Manager</t>
  </si>
  <si>
    <t>2016-09-17</t>
  </si>
  <si>
    <t>E1014</t>
  </si>
  <si>
    <t>Jan</t>
  </si>
  <si>
    <t>2023-08-24</t>
  </si>
  <si>
    <t>2025-03-22</t>
  </si>
  <si>
    <t>E1015</t>
  </si>
  <si>
    <t>HR Coordinator</t>
  </si>
  <si>
    <t>2021-08-12</t>
  </si>
  <si>
    <t>E1016</t>
  </si>
  <si>
    <t>Simon</t>
  </si>
  <si>
    <t>Schwarz</t>
  </si>
  <si>
    <t>2020-03-11</t>
  </si>
  <si>
    <t>E1017</t>
  </si>
  <si>
    <t>Clara</t>
  </si>
  <si>
    <t>2020-01-26</t>
  </si>
  <si>
    <t>E1018</t>
  </si>
  <si>
    <t>Maria</t>
  </si>
  <si>
    <t>Neumann</t>
  </si>
  <si>
    <t>Operations Analyst</t>
  </si>
  <si>
    <t>2024-08-02</t>
  </si>
  <si>
    <t>E1019</t>
  </si>
  <si>
    <t>Nina</t>
  </si>
  <si>
    <t>2022-01-17</t>
  </si>
  <si>
    <t>E1020</t>
  </si>
  <si>
    <t>Leon</t>
  </si>
  <si>
    <t>2018-07-09</t>
  </si>
  <si>
    <t>E1021</t>
  </si>
  <si>
    <t>Becker</t>
  </si>
  <si>
    <t>2018-07-26</t>
  </si>
  <si>
    <t>E1022</t>
  </si>
  <si>
    <t>Lea</t>
  </si>
  <si>
    <t>2018-05-27</t>
  </si>
  <si>
    <t>2019-12-19</t>
  </si>
  <si>
    <t>E1023</t>
  </si>
  <si>
    <t>2017-01-21</t>
  </si>
  <si>
    <t>E1024</t>
  </si>
  <si>
    <t>2016-09-05</t>
  </si>
  <si>
    <t>E1025</t>
  </si>
  <si>
    <t>Marketing Manager</t>
  </si>
  <si>
    <t>2017-07-28</t>
  </si>
  <si>
    <t>E1026</t>
  </si>
  <si>
    <t>Schneider</t>
  </si>
  <si>
    <t>HR Manager</t>
  </si>
  <si>
    <t>2016-07-26</t>
  </si>
  <si>
    <t>2026-01-09</t>
  </si>
  <si>
    <t>E1027</t>
  </si>
  <si>
    <t>Klein</t>
  </si>
  <si>
    <t>2025-09-11</t>
  </si>
  <si>
    <t>E1028</t>
  </si>
  <si>
    <t>Sarah</t>
  </si>
  <si>
    <t>2020-09-28</t>
  </si>
  <si>
    <t>2026-04-13</t>
  </si>
  <si>
    <t>E1029</t>
  </si>
  <si>
    <t>2016-08-22</t>
  </si>
  <si>
    <t>E1030</t>
  </si>
  <si>
    <t>2022-09-03</t>
  </si>
  <si>
    <t>E1031</t>
  </si>
  <si>
    <t>Kruger</t>
  </si>
  <si>
    <t>Sales Manager</t>
  </si>
  <si>
    <t>2020-09-13</t>
  </si>
  <si>
    <t>2024-04-30</t>
  </si>
  <si>
    <t>E1032</t>
  </si>
  <si>
    <t>2021-02-15</t>
  </si>
  <si>
    <t>E1033</t>
  </si>
  <si>
    <t>Zimmermann</t>
  </si>
  <si>
    <t>2017-06-26</t>
  </si>
  <si>
    <t>E1034</t>
  </si>
  <si>
    <t>Jonas</t>
  </si>
  <si>
    <t>2022-11-10</t>
  </si>
  <si>
    <t>2022-12-26</t>
  </si>
  <si>
    <t>E1035</t>
  </si>
  <si>
    <t>2025-12-23</t>
  </si>
  <si>
    <t>E1036</t>
  </si>
  <si>
    <t>Support Team Lead</t>
  </si>
  <si>
    <t>2023-09-16</t>
  </si>
  <si>
    <t>E1037</t>
  </si>
  <si>
    <t>2016-01-15</t>
  </si>
  <si>
    <t>E1038</t>
  </si>
  <si>
    <t>Lukas</t>
  </si>
  <si>
    <t>Finance Manager</t>
  </si>
  <si>
    <t>2022-04-16</t>
  </si>
  <si>
    <t>E1039</t>
  </si>
  <si>
    <t>Schmidt</t>
  </si>
  <si>
    <t>2022-03-13</t>
  </si>
  <si>
    <t>E1040</t>
  </si>
  <si>
    <t>Felix</t>
  </si>
  <si>
    <t>Software Engineer</t>
  </si>
  <si>
    <t>2023-06-24</t>
  </si>
  <si>
    <t>E1041</t>
  </si>
  <si>
    <t>Weber</t>
  </si>
  <si>
    <t>2025-11-19</t>
  </si>
  <si>
    <t>E1042</t>
  </si>
  <si>
    <t>Erik</t>
  </si>
  <si>
    <t>2017-10-14</t>
  </si>
  <si>
    <t>E1043</t>
  </si>
  <si>
    <t>2019-06-04</t>
  </si>
  <si>
    <t>E1044</t>
  </si>
  <si>
    <t>2019-12-09</t>
  </si>
  <si>
    <t>2024-07-02</t>
  </si>
  <si>
    <t>E1045</t>
  </si>
  <si>
    <t>2016-06-05</t>
  </si>
  <si>
    <t>E1046</t>
  </si>
  <si>
    <t>2022-06-19</t>
  </si>
  <si>
    <t>E1047</t>
  </si>
  <si>
    <t>2020-11-01</t>
  </si>
  <si>
    <t>E1048</t>
  </si>
  <si>
    <t>Noah</t>
  </si>
  <si>
    <t>2019-06-20</t>
  </si>
  <si>
    <t>E1049</t>
  </si>
  <si>
    <t>2023-08-06</t>
  </si>
  <si>
    <t>E1050</t>
  </si>
  <si>
    <t>QA Engineer</t>
  </si>
  <si>
    <t>2020-10-26</t>
  </si>
  <si>
    <t>2024-07-06</t>
  </si>
  <si>
    <t>E1051</t>
  </si>
  <si>
    <t>2019-03-08</t>
  </si>
  <si>
    <t>2026-05-12</t>
  </si>
  <si>
    <t>E1052</t>
  </si>
  <si>
    <t>Schaefer</t>
  </si>
  <si>
    <t>2016-04-10</t>
  </si>
  <si>
    <t>E1053</t>
  </si>
  <si>
    <t>2021-07-17</t>
  </si>
  <si>
    <t>E1054</t>
  </si>
  <si>
    <t>Elena</t>
  </si>
  <si>
    <t>2017-12-21</t>
  </si>
  <si>
    <t>2023-04-06</t>
  </si>
  <si>
    <t>E1055</t>
  </si>
  <si>
    <t>2022-04-08</t>
  </si>
  <si>
    <t>2024-02-16</t>
  </si>
  <si>
    <t>E1056</t>
  </si>
  <si>
    <t>2021-01-17</t>
  </si>
  <si>
    <t>E1057</t>
  </si>
  <si>
    <t>2019-01-29</t>
  </si>
  <si>
    <t>E1058</t>
  </si>
  <si>
    <t>E1059</t>
  </si>
  <si>
    <t>Account Executive</t>
  </si>
  <si>
    <t>2019-09-17</t>
  </si>
  <si>
    <t>2025-01-06</t>
  </si>
  <si>
    <t>E1060</t>
  </si>
  <si>
    <t>2020-04-07</t>
  </si>
  <si>
    <t>E1061</t>
  </si>
  <si>
    <t>2024-05-19</t>
  </si>
  <si>
    <t>2026-02-25</t>
  </si>
  <si>
    <t>E1062</t>
  </si>
  <si>
    <t>2023-07-02</t>
  </si>
  <si>
    <t>E1063</t>
  </si>
  <si>
    <t>2022-04-30</t>
  </si>
  <si>
    <t>E1064</t>
  </si>
  <si>
    <t>E1065</t>
  </si>
  <si>
    <t>2025-05-12</t>
  </si>
  <si>
    <t>E1066</t>
  </si>
  <si>
    <t>Julia</t>
  </si>
  <si>
    <t>2024-06-16</t>
  </si>
  <si>
    <t>E1067</t>
  </si>
  <si>
    <t>2023-07-05</t>
  </si>
  <si>
    <t>E1068</t>
  </si>
  <si>
    <t>Ben</t>
  </si>
  <si>
    <t>2022-10-17</t>
  </si>
  <si>
    <t>2023-07-08</t>
  </si>
  <si>
    <t>E1069</t>
  </si>
  <si>
    <t>2020-06-12</t>
  </si>
  <si>
    <t>E1070</t>
  </si>
  <si>
    <t>2024-10-10</t>
  </si>
  <si>
    <t>E1071</t>
  </si>
  <si>
    <t>Paul</t>
  </si>
  <si>
    <t>2025-07-11</t>
  </si>
  <si>
    <t>E1072</t>
  </si>
  <si>
    <t>2017-12-22</t>
  </si>
  <si>
    <t>2025-05-08</t>
  </si>
  <si>
    <t>E1073</t>
  </si>
  <si>
    <t>2025-07-20</t>
  </si>
  <si>
    <t>E1074</t>
  </si>
  <si>
    <t>2019-10-09</t>
  </si>
  <si>
    <t>E1075</t>
  </si>
  <si>
    <t>2019-02-19</t>
  </si>
  <si>
    <t>2022-04-25</t>
  </si>
  <si>
    <t>E1076</t>
  </si>
  <si>
    <t>2022-03-24</t>
  </si>
  <si>
    <t>E1077</t>
  </si>
  <si>
    <t>2020-07-14</t>
  </si>
  <si>
    <t>E1078</t>
  </si>
  <si>
    <t>2024-05-13</t>
  </si>
  <si>
    <t>2025-05-16</t>
  </si>
  <si>
    <t>E1079</t>
  </si>
  <si>
    <t>2019-07-16</t>
  </si>
  <si>
    <t>E1080</t>
  </si>
  <si>
    <t>2024-02-15</t>
  </si>
  <si>
    <t>2026-05-03</t>
  </si>
  <si>
    <t>E1081</t>
  </si>
  <si>
    <t>2018-01-04</t>
  </si>
  <si>
    <t>E1082</t>
  </si>
  <si>
    <t>2023-10-27</t>
  </si>
  <si>
    <t>E1083</t>
  </si>
  <si>
    <t>2021-05-14</t>
  </si>
  <si>
    <t>E1084</t>
  </si>
  <si>
    <t>2021-07-07</t>
  </si>
  <si>
    <t>E1085</t>
  </si>
  <si>
    <t>2018-10-13</t>
  </si>
  <si>
    <t>E1086</t>
  </si>
  <si>
    <t>2019-05-02</t>
  </si>
  <si>
    <t>2024-03-22</t>
  </si>
  <si>
    <t>E1087</t>
  </si>
  <si>
    <t>2018-12-19</t>
  </si>
  <si>
    <t>E1088</t>
  </si>
  <si>
    <t>2021-04-08</t>
  </si>
  <si>
    <t>E1089</t>
  </si>
  <si>
    <t>2026-06-18</t>
  </si>
  <si>
    <t>E1090</t>
  </si>
  <si>
    <t>2016-09-01</t>
  </si>
  <si>
    <t>E1091</t>
  </si>
  <si>
    <t>2023-11-06</t>
  </si>
  <si>
    <t>E1092</t>
  </si>
  <si>
    <t>2024-03-27</t>
  </si>
  <si>
    <t>E1093</t>
  </si>
  <si>
    <t>2022-06-18</t>
  </si>
  <si>
    <t>E1094</t>
  </si>
  <si>
    <t>E1095</t>
  </si>
  <si>
    <t>2019-09-12</t>
  </si>
  <si>
    <t>E1096</t>
  </si>
  <si>
    <t>2019-07-12</t>
  </si>
  <si>
    <t>E1097</t>
  </si>
  <si>
    <t>2021-03-07</t>
  </si>
  <si>
    <t>E1098</t>
  </si>
  <si>
    <t>2018-04-13</t>
  </si>
  <si>
    <t>E1099</t>
  </si>
  <si>
    <t>2024-12-17</t>
  </si>
  <si>
    <t>E1100</t>
  </si>
  <si>
    <t>2021-03-05</t>
  </si>
  <si>
    <t>E1101</t>
  </si>
  <si>
    <t>2020-08-28</t>
  </si>
  <si>
    <t>E1102</t>
  </si>
  <si>
    <t>2025-09-09</t>
  </si>
  <si>
    <t>E1103</t>
  </si>
  <si>
    <t>2024-02-21</t>
  </si>
  <si>
    <t>E1104</t>
  </si>
  <si>
    <t>2019-11-14</t>
  </si>
  <si>
    <t>E1105</t>
  </si>
  <si>
    <t>2022-05-31</t>
  </si>
  <si>
    <t>E1106</t>
  </si>
  <si>
    <t>2020-04-30</t>
  </si>
  <si>
    <t>E1107</t>
  </si>
  <si>
    <t>2017-02-12</t>
  </si>
  <si>
    <t>2022-04-28</t>
  </si>
  <si>
    <t>E1108</t>
  </si>
  <si>
    <t>2019-10-18</t>
  </si>
  <si>
    <t>2024-05-02</t>
  </si>
  <si>
    <t>E1109</t>
  </si>
  <si>
    <t>2025-10-13</t>
  </si>
  <si>
    <t>2025-11-30</t>
  </si>
  <si>
    <t>E1110</t>
  </si>
  <si>
    <t>2020-12-22</t>
  </si>
  <si>
    <t>E1111</t>
  </si>
  <si>
    <t>2020-10-30</t>
  </si>
  <si>
    <t>E1112</t>
  </si>
  <si>
    <t>2022-12-13</t>
  </si>
  <si>
    <t>E1113</t>
  </si>
  <si>
    <t>2018-11-11</t>
  </si>
  <si>
    <t>E1114</t>
  </si>
  <si>
    <t>E1115</t>
  </si>
  <si>
    <t>2018-08-29</t>
  </si>
  <si>
    <t>E1116</t>
  </si>
  <si>
    <t>E1117</t>
  </si>
  <si>
    <t>2024-09-12</t>
  </si>
  <si>
    <t>E1118</t>
  </si>
  <si>
    <t>2023-01-17</t>
  </si>
  <si>
    <t>E1119</t>
  </si>
  <si>
    <t>2024-03-18</t>
  </si>
  <si>
    <t>E1120</t>
  </si>
  <si>
    <t>2024-10-26</t>
  </si>
  <si>
    <t>2025-12-04</t>
  </si>
  <si>
    <t>E1121</t>
  </si>
  <si>
    <t>2024-05-15</t>
  </si>
  <si>
    <t>E1122</t>
  </si>
  <si>
    <t>2020-02-07</t>
  </si>
  <si>
    <t>E1123</t>
  </si>
  <si>
    <t>Bauer</t>
  </si>
  <si>
    <t>2020-04-09</t>
  </si>
  <si>
    <t>E1124</t>
  </si>
  <si>
    <t>E1125</t>
  </si>
  <si>
    <t>2016-06-01</t>
  </si>
  <si>
    <t>E1126</t>
  </si>
  <si>
    <t>2020-02-28</t>
  </si>
  <si>
    <t>2024-12-09</t>
  </si>
  <si>
    <t>E1127</t>
  </si>
  <si>
    <t>2022-11-26</t>
  </si>
  <si>
    <t>E1128</t>
  </si>
  <si>
    <t>2017-02-10</t>
  </si>
  <si>
    <t>E1129</t>
  </si>
  <si>
    <t>2025-07-05</t>
  </si>
  <si>
    <t>E1130</t>
  </si>
  <si>
    <t>2018-04-20</t>
  </si>
  <si>
    <t>E1131</t>
  </si>
  <si>
    <t>2016-01-12</t>
  </si>
  <si>
    <t>E1132</t>
  </si>
  <si>
    <t>2017-06-23</t>
  </si>
  <si>
    <t>E1133</t>
  </si>
  <si>
    <t>2016-08-02</t>
  </si>
  <si>
    <t>E1134</t>
  </si>
  <si>
    <t>2022-08-28</t>
  </si>
  <si>
    <t>E1135</t>
  </si>
  <si>
    <t>2016-09-06</t>
  </si>
  <si>
    <t>E1136</t>
  </si>
  <si>
    <t>2022-10-27</t>
  </si>
  <si>
    <t>E1137</t>
  </si>
  <si>
    <t>2021-09-01</t>
  </si>
  <si>
    <t>2024-02-29</t>
  </si>
  <si>
    <t>E1138</t>
  </si>
  <si>
    <t>2021-01-23</t>
  </si>
  <si>
    <t>E1139</t>
  </si>
  <si>
    <t>2020-10-14</t>
  </si>
  <si>
    <t>E1140</t>
  </si>
  <si>
    <t>2017-01-16</t>
  </si>
  <si>
    <t>E1141</t>
  </si>
  <si>
    <t>2022-04-19</t>
  </si>
  <si>
    <t>2024-03-24</t>
  </si>
  <si>
    <t>E1142</t>
  </si>
  <si>
    <t>2022-09-25</t>
  </si>
  <si>
    <t>E1143</t>
  </si>
  <si>
    <t>2025-06-24</t>
  </si>
  <si>
    <t>2026-01-28</t>
  </si>
  <si>
    <t>E1144</t>
  </si>
  <si>
    <t>2023-05-18</t>
  </si>
  <si>
    <t>E1145</t>
  </si>
  <si>
    <t>2025-10-02</t>
  </si>
  <si>
    <t>E1146</t>
  </si>
  <si>
    <t>2018-05-31</t>
  </si>
  <si>
    <t>E1147</t>
  </si>
  <si>
    <t>2022-09-08</t>
  </si>
  <si>
    <t>E1148</t>
  </si>
  <si>
    <t>2021-06-12</t>
  </si>
  <si>
    <t>2024-01-03</t>
  </si>
  <si>
    <t>E1149</t>
  </si>
  <si>
    <t>2021-06-16</t>
  </si>
  <si>
    <t>2025-04-12</t>
  </si>
  <si>
    <t>E1150</t>
  </si>
  <si>
    <t>2018-05-15</t>
  </si>
  <si>
    <t>E1151</t>
  </si>
  <si>
    <t>2017-06-13</t>
  </si>
  <si>
    <t>E1152</t>
  </si>
  <si>
    <t>2016-03-17</t>
  </si>
  <si>
    <t>E1153</t>
  </si>
  <si>
    <t>2017-04-16</t>
  </si>
  <si>
    <t>E1154</t>
  </si>
  <si>
    <t>2016-12-26</t>
  </si>
  <si>
    <t>E1155</t>
  </si>
  <si>
    <t>2018-06-26</t>
  </si>
  <si>
    <t>E1156</t>
  </si>
  <si>
    <t>2024-02-27</t>
  </si>
  <si>
    <t>E1157</t>
  </si>
  <si>
    <t>2017-12-26</t>
  </si>
  <si>
    <t>E1158</t>
  </si>
  <si>
    <t>2017-09-10</t>
  </si>
  <si>
    <t>E1159</t>
  </si>
  <si>
    <t>2021-09-09</t>
  </si>
  <si>
    <t>E1160</t>
  </si>
  <si>
    <t>2023-03-25</t>
  </si>
  <si>
    <t>E1161</t>
  </si>
  <si>
    <t>2021-01-16</t>
  </si>
  <si>
    <t>2024-10-11</t>
  </si>
  <si>
    <t>E1162</t>
  </si>
  <si>
    <t>2025-02-03</t>
  </si>
  <si>
    <t>E1163</t>
  </si>
  <si>
    <t>2021-11-16</t>
  </si>
  <si>
    <t>2025-05-17</t>
  </si>
  <si>
    <t>E1164</t>
  </si>
  <si>
    <t>E1165</t>
  </si>
  <si>
    <t>2016-11-29</t>
  </si>
  <si>
    <t>2024-06-08</t>
  </si>
  <si>
    <t>E1166</t>
  </si>
  <si>
    <t>2019-06-22</t>
  </si>
  <si>
    <t>2023-10-11</t>
  </si>
  <si>
    <t>E1167</t>
  </si>
  <si>
    <t>2021-09-13</t>
  </si>
  <si>
    <t>E1168</t>
  </si>
  <si>
    <t>2018-07-16</t>
  </si>
  <si>
    <t>E1169</t>
  </si>
  <si>
    <t>2025-10-29</t>
  </si>
  <si>
    <t>2025-12-31</t>
  </si>
  <si>
    <t>E1170</t>
  </si>
  <si>
    <t>2016-06-27</t>
  </si>
  <si>
    <t>E1171</t>
  </si>
  <si>
    <t>2018-08-16</t>
  </si>
  <si>
    <t>2021-05-21</t>
  </si>
  <si>
    <t>E1172</t>
  </si>
  <si>
    <t>2020-12-09</t>
  </si>
  <si>
    <t>E1173</t>
  </si>
  <si>
    <t>2016-08-01</t>
  </si>
  <si>
    <t>E1174</t>
  </si>
  <si>
    <t>2016-12-09</t>
  </si>
  <si>
    <t>E1175</t>
  </si>
  <si>
    <t>2025-12-02</t>
  </si>
  <si>
    <t>E1176</t>
  </si>
  <si>
    <t>2020-03-15</t>
  </si>
  <si>
    <t>E1177</t>
  </si>
  <si>
    <t>E1178</t>
  </si>
  <si>
    <t>2016-11-20</t>
  </si>
  <si>
    <t>E1179</t>
  </si>
  <si>
    <t>2024-09-14</t>
  </si>
  <si>
    <t>E1180</t>
  </si>
  <si>
    <t>2017-03-30</t>
  </si>
  <si>
    <t>E1181</t>
  </si>
  <si>
    <t>2022-11-23</t>
  </si>
  <si>
    <t>E1182</t>
  </si>
  <si>
    <t>2021-11-24</t>
  </si>
  <si>
    <t>2024-10-28</t>
  </si>
  <si>
    <t>E1183</t>
  </si>
  <si>
    <t>2020-03-09</t>
  </si>
  <si>
    <t>E1184</t>
  </si>
  <si>
    <t>2024-03-30</t>
  </si>
  <si>
    <t>E1185</t>
  </si>
  <si>
    <t>2023-01-31</t>
  </si>
  <si>
    <t>E1186</t>
  </si>
  <si>
    <t>2025-12-07</t>
  </si>
  <si>
    <t>E1187</t>
  </si>
  <si>
    <t>2024-06-12</t>
  </si>
  <si>
    <t>E1188</t>
  </si>
  <si>
    <t>2020-11-24</t>
  </si>
  <si>
    <t>E1189</t>
  </si>
  <si>
    <t>2020-02-13</t>
  </si>
  <si>
    <t>2023-03-11</t>
  </si>
  <si>
    <t>E1190</t>
  </si>
  <si>
    <t>2019-04-18</t>
  </si>
  <si>
    <t>E1191</t>
  </si>
  <si>
    <t>2017-11-13</t>
  </si>
  <si>
    <t>E1192</t>
  </si>
  <si>
    <t>2016-11-03</t>
  </si>
  <si>
    <t>E1193</t>
  </si>
  <si>
    <t>2017-06-01</t>
  </si>
  <si>
    <t>E1194</t>
  </si>
  <si>
    <t>2017-09-20</t>
  </si>
  <si>
    <t>E1195</t>
  </si>
  <si>
    <t>2019-07-11</t>
  </si>
  <si>
    <t>E1196</t>
  </si>
  <si>
    <t>E1197</t>
  </si>
  <si>
    <t>2018-03-30</t>
  </si>
  <si>
    <t>E1198</t>
  </si>
  <si>
    <t>2023-06-28</t>
  </si>
  <si>
    <t>E1199</t>
  </si>
  <si>
    <t>2024-11-24</t>
  </si>
  <si>
    <t>E1200</t>
  </si>
  <si>
    <t>2020-01-18</t>
  </si>
  <si>
    <t>2026-07-19</t>
  </si>
  <si>
    <t>TenureYears</t>
  </si>
  <si>
    <t>Total Headcount</t>
  </si>
  <si>
    <t>Attrition Rate</t>
  </si>
  <si>
    <t>Row Labels</t>
  </si>
  <si>
    <t>Grand Total</t>
  </si>
  <si>
    <t>Average Tenure (Years)</t>
  </si>
  <si>
    <t>Female %</t>
  </si>
  <si>
    <t>Male %</t>
  </si>
  <si>
    <t>Rating</t>
  </si>
  <si>
    <t>Count</t>
  </si>
  <si>
    <t>Average of AnnualSalary</t>
  </si>
</sst>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164" formatCode="0.0%"/>
    <numFmt numFmtId="165" formatCode="0.0"/>
  </numFmts>
  <fonts count="7" x14ac:knownFonts="1">
    <font>
      <sz val="11"/>
      <color theme="1"/>
      <name val="Calibri"/>
      <family val="2"/>
      <scheme val="minor"/>
    </font>
    <font>
      <b/>
      <sz val="11"/>
      <color rgb="FFFFFFFF"/>
      <name val="Arial"/>
    </font>
    <font>
      <sz val="10"/>
      <name val="Arial"/>
    </font>
    <font>
      <sz val="11"/>
      <color theme="1"/>
      <name val="Calibri"/>
      <family val="2"/>
      <scheme val="minor"/>
    </font>
    <font>
      <b/>
      <sz val="20"/>
      <color theme="1"/>
      <name val="Times New Roman"/>
      <family val="1"/>
    </font>
    <font>
      <b/>
      <sz val="11"/>
      <color theme="1"/>
      <name val="Times New Roman"/>
      <family val="1"/>
    </font>
    <font>
      <b/>
      <sz val="10"/>
      <color theme="1"/>
      <name val="Times New Roman"/>
      <family val="1"/>
    </font>
  </fonts>
  <fills count="4">
    <fill>
      <patternFill patternType="none"/>
    </fill>
    <fill>
      <patternFill patternType="gray125"/>
    </fill>
    <fill>
      <patternFill patternType="solid">
        <fgColor rgb="FF305496"/>
        <bgColor rgb="FF305496"/>
      </patternFill>
    </fill>
    <fill>
      <patternFill patternType="solid">
        <fgColor theme="4" tint="0.59999389629810485"/>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2">
    <xf numFmtId="0" fontId="0" fillId="0" borderId="0"/>
    <xf numFmtId="9" fontId="3" fillId="0" borderId="0" applyFont="0" applyFill="0" applyBorder="0" applyAlignment="0" applyProtection="0"/>
  </cellStyleXfs>
  <cellXfs count="12">
    <xf numFmtId="0" fontId="0" fillId="0" borderId="0" xfId="0"/>
    <xf numFmtId="0" fontId="1" fillId="2" borderId="0" xfId="0" applyFont="1" applyFill="1" applyAlignment="1">
      <alignment horizontal="center"/>
    </xf>
    <xf numFmtId="0" fontId="2" fillId="0" borderId="0" xfId="0" applyFont="1"/>
    <xf numFmtId="0" fontId="0" fillId="0" borderId="0" xfId="0" pivotButton="1"/>
    <xf numFmtId="0" fontId="0" fillId="0" borderId="0" xfId="0" applyAlignment="1">
      <alignment horizontal="left"/>
    </xf>
    <xf numFmtId="0" fontId="0" fillId="0" borderId="0" xfId="0" applyNumberFormat="1"/>
    <xf numFmtId="0" fontId="5" fillId="0" borderId="0" xfId="0" applyFont="1"/>
    <xf numFmtId="0" fontId="6" fillId="0" borderId="0" xfId="0" applyFont="1"/>
    <xf numFmtId="164" fontId="4" fillId="3" borderId="2" xfId="1" applyNumberFormat="1" applyFont="1" applyFill="1" applyBorder="1"/>
    <xf numFmtId="165" fontId="4" fillId="3" borderId="1" xfId="1" applyNumberFormat="1" applyFont="1" applyFill="1" applyBorder="1"/>
    <xf numFmtId="0" fontId="4" fillId="3" borderId="1" xfId="0" applyFont="1" applyFill="1" applyBorder="1"/>
    <xf numFmtId="164" fontId="4" fillId="3" borderId="1" xfId="0" applyNumberFormat="1" applyFont="1" applyFill="1" applyBorder="1"/>
  </cellXfs>
  <cellStyles count="2">
    <cellStyle name="Normal" xfId="0" builtinId="0"/>
    <cellStyle name="Percent" xfId="1" builtinId="5"/>
  </cellStyles>
  <dxfs count="14">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1"/>
        <color rgb="FFFFFFFF"/>
        <name val="Arial"/>
        <scheme val="none"/>
      </font>
      <fill>
        <patternFill patternType="solid">
          <fgColor rgb="FF305496"/>
          <bgColor rgb="FF305496"/>
        </patternFill>
      </fill>
      <alignment horizontal="center" vertical="bottom"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[hr_employee_data.xlsx]Dashboard!PivotTable1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Salary</a:t>
            </a:r>
            <a:r>
              <a:rPr lang="en-US" baseline="0"/>
              <a:t> by Department</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s>
    <c:plotArea>
      <c:layout/>
      <c:barChart>
        <c:barDir val="col"/>
        <c:grouping val="clustered"/>
        <c:varyColors val="0"/>
        <c:ser>
          <c:idx val="0"/>
          <c:order val="0"/>
          <c:tx>
            <c:strRef>
              <c:f>Dashboard!$E$1</c:f>
              <c:strCache>
                <c:ptCount val="1"/>
                <c:pt idx="0">
                  <c:v>Total</c:v>
                </c:pt>
              </c:strCache>
            </c:strRef>
          </c:tx>
          <c:spPr>
            <a:solidFill>
              <a:schemeClr val="accent1"/>
            </a:solidFill>
            <a:ln>
              <a:noFill/>
            </a:ln>
            <a:effectLst/>
          </c:spPr>
          <c:invertIfNegative val="0"/>
          <c:cat>
            <c:strRef>
              <c:f>Dashboard!$D$2:$D$9</c:f>
              <c:strCache>
                <c:ptCount val="7"/>
                <c:pt idx="0">
                  <c:v>Customer Support</c:v>
                </c:pt>
                <c:pt idx="1">
                  <c:v>Engineering</c:v>
                </c:pt>
                <c:pt idx="2">
                  <c:v>Finance</c:v>
                </c:pt>
                <c:pt idx="3">
                  <c:v>Human Resources</c:v>
                </c:pt>
                <c:pt idx="4">
                  <c:v>Marketing</c:v>
                </c:pt>
                <c:pt idx="5">
                  <c:v>Operations</c:v>
                </c:pt>
                <c:pt idx="6">
                  <c:v>Sales</c:v>
                </c:pt>
              </c:strCache>
            </c:strRef>
          </c:cat>
          <c:val>
            <c:numRef>
              <c:f>Dashboard!$E$2:$E$9</c:f>
              <c:numCache>
                <c:formatCode>General</c:formatCode>
                <c:ptCount val="7"/>
                <c:pt idx="0">
                  <c:v>44325.413793103449</c:v>
                </c:pt>
                <c:pt idx="1">
                  <c:v>72146.370370370365</c:v>
                </c:pt>
                <c:pt idx="2">
                  <c:v>63969.120000000003</c:v>
                </c:pt>
                <c:pt idx="3">
                  <c:v>54989.08</c:v>
                </c:pt>
                <c:pt idx="4">
                  <c:v>55320.909090909088</c:v>
                </c:pt>
                <c:pt idx="5">
                  <c:v>64724.1</c:v>
                </c:pt>
                <c:pt idx="6">
                  <c:v>59425.78125</c:v>
                </c:pt>
              </c:numCache>
            </c:numRef>
          </c:val>
        </c:ser>
        <c:dLbls>
          <c:showLegendKey val="0"/>
          <c:showVal val="0"/>
          <c:showCatName val="0"/>
          <c:showSerName val="0"/>
          <c:showPercent val="0"/>
          <c:showBubbleSize val="0"/>
        </c:dLbls>
        <c:gapWidth val="219"/>
        <c:overlap val="-27"/>
        <c:axId val="159596544"/>
        <c:axId val="342282856"/>
      </c:barChart>
      <c:catAx>
        <c:axId val="1595965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2282856"/>
        <c:crosses val="autoZero"/>
        <c:auto val="1"/>
        <c:lblAlgn val="ctr"/>
        <c:lblOffset val="100"/>
        <c:noMultiLvlLbl val="0"/>
      </c:catAx>
      <c:valAx>
        <c:axId val="3422828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596544"/>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Gender split</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cat>
            <c:strRef>
              <c:f>Dashboard!$A$6:$A$7</c:f>
              <c:strCache>
                <c:ptCount val="2"/>
                <c:pt idx="0">
                  <c:v>Female %</c:v>
                </c:pt>
                <c:pt idx="1">
                  <c:v>Male %</c:v>
                </c:pt>
              </c:strCache>
            </c:strRef>
          </c:cat>
          <c:val>
            <c:numRef>
              <c:f>Dashboard!$B$6:$B$7</c:f>
              <c:numCache>
                <c:formatCode>0.0%</c:formatCode>
                <c:ptCount val="2"/>
                <c:pt idx="0">
                  <c:v>0.50641025641025639</c:v>
                </c:pt>
                <c:pt idx="1">
                  <c:v>0.49358974358974361</c:v>
                </c:pt>
              </c:numCache>
            </c:numRef>
          </c:val>
        </c:ser>
        <c:dLbls>
          <c:showLegendKey val="0"/>
          <c:showVal val="0"/>
          <c:showCatName val="0"/>
          <c:showSerName val="0"/>
          <c:showPercent val="0"/>
          <c:showBubbleSize val="0"/>
          <c:showLeaderLines val="1"/>
        </c:dLbls>
        <c:firstSliceAng val="0"/>
      </c:pieChart>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Performance</a:t>
            </a:r>
            <a:r>
              <a:rPr lang="en-US" baseline="0"/>
              <a:t> Rating Distribution</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1"/>
          <c:order val="0"/>
          <c:tx>
            <c:v>Count</c:v>
          </c:tx>
          <c:spPr>
            <a:solidFill>
              <a:schemeClr val="accent2"/>
            </a:solidFill>
            <a:ln>
              <a:noFill/>
            </a:ln>
            <a:effectLst/>
          </c:spPr>
          <c:invertIfNegative val="0"/>
          <c:cat>
            <c:numLit>
              <c:formatCode>General</c:formatCode>
              <c:ptCount val="5"/>
              <c:pt idx="0">
                <c:v>1</c:v>
              </c:pt>
              <c:pt idx="1">
                <c:v>2</c:v>
              </c:pt>
              <c:pt idx="2">
                <c:v>3</c:v>
              </c:pt>
              <c:pt idx="3">
                <c:v>4</c:v>
              </c:pt>
              <c:pt idx="4">
                <c:v>5</c:v>
              </c:pt>
            </c:numLit>
          </c:cat>
          <c:val>
            <c:numLit>
              <c:formatCode>General</c:formatCode>
              <c:ptCount val="5"/>
              <c:pt idx="0">
                <c:v>6</c:v>
              </c:pt>
              <c:pt idx="1">
                <c:v>22</c:v>
              </c:pt>
              <c:pt idx="2">
                <c:v>77</c:v>
              </c:pt>
              <c:pt idx="3">
                <c:v>63</c:v>
              </c:pt>
              <c:pt idx="4">
                <c:v>32</c:v>
              </c:pt>
            </c:numLit>
          </c:val>
        </c:ser>
        <c:dLbls>
          <c:showLegendKey val="0"/>
          <c:showVal val="0"/>
          <c:showCatName val="0"/>
          <c:showSerName val="0"/>
          <c:showPercent val="0"/>
          <c:showBubbleSize val="0"/>
        </c:dLbls>
        <c:gapWidth val="219"/>
        <c:overlap val="-27"/>
        <c:axId val="342348224"/>
        <c:axId val="342603752"/>
      </c:barChart>
      <c:catAx>
        <c:axId val="3423482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2603752"/>
        <c:crosses val="autoZero"/>
        <c:auto val="1"/>
        <c:lblAlgn val="ctr"/>
        <c:lblOffset val="100"/>
        <c:noMultiLvlLbl val="0"/>
      </c:catAx>
      <c:valAx>
        <c:axId val="3426037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234822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66675</xdr:colOff>
      <xdr:row>14</xdr:row>
      <xdr:rowOff>180975</xdr:rowOff>
    </xdr:from>
    <xdr:to>
      <xdr:col>4</xdr:col>
      <xdr:colOff>1986643</xdr:colOff>
      <xdr:row>29</xdr:row>
      <xdr:rowOff>66675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480671</xdr:colOff>
      <xdr:row>14</xdr:row>
      <xdr:rowOff>108858</xdr:rowOff>
    </xdr:from>
    <xdr:to>
      <xdr:col>15</xdr:col>
      <xdr:colOff>223157</xdr:colOff>
      <xdr:row>28</xdr:row>
      <xdr:rowOff>185058</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511969</xdr:colOff>
      <xdr:row>1</xdr:row>
      <xdr:rowOff>26193</xdr:rowOff>
    </xdr:from>
    <xdr:to>
      <xdr:col>15</xdr:col>
      <xdr:colOff>226218</xdr:colOff>
      <xdr:row>11</xdr:row>
      <xdr:rowOff>150018</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4</xdr:col>
      <xdr:colOff>1990043</xdr:colOff>
      <xdr:row>15</xdr:row>
      <xdr:rowOff>1</xdr:rowOff>
    </xdr:from>
    <xdr:to>
      <xdr:col>7</xdr:col>
      <xdr:colOff>221454</xdr:colOff>
      <xdr:row>29</xdr:row>
      <xdr:rowOff>68037</xdr:rowOff>
    </xdr:to>
    <mc:AlternateContent xmlns:mc="http://schemas.openxmlformats.org/markup-compatibility/2006">
      <mc:Choice xmlns:a14="http://schemas.microsoft.com/office/drawing/2010/main" Requires="a14">
        <xdr:graphicFrame macro="">
          <xdr:nvGraphicFramePr>
            <xdr:cNvPr id="5" name="Department"/>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6645387" y="3512345"/>
              <a:ext cx="1827098" cy="273503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The Moor" refreshedDate="46231.22154027778" createdVersion="5" refreshedVersion="5" minRefreshableVersion="3" recordCount="200">
  <cacheSource type="worksheet">
    <worksheetSource name="Table1"/>
  </cacheSource>
  <cacheFields count="13">
    <cacheField name="EmployeeID" numFmtId="0">
      <sharedItems/>
    </cacheField>
    <cacheField name="FirstName" numFmtId="0">
      <sharedItems/>
    </cacheField>
    <cacheField name="LastName" numFmtId="0">
      <sharedItems count="20">
        <s v="Hoffmann"/>
        <s v="Mueller"/>
        <s v="Wolf"/>
        <s v="Koch"/>
        <s v="Wagner"/>
        <s v="Fischer"/>
        <s v="Richter"/>
        <s v="Braun"/>
        <s v="Meyer"/>
        <s v="Schwarz"/>
        <s v="Neumann"/>
        <s v="Becker"/>
        <s v="Schneider"/>
        <s v="Klein"/>
        <s v="Kruger"/>
        <s v="Zimmermann"/>
        <s v="Schmidt"/>
        <s v="Weber"/>
        <s v="Schaefer"/>
        <s v="Bauer"/>
      </sharedItems>
    </cacheField>
    <cacheField name="Department" numFmtId="0">
      <sharedItems count="7">
        <s v="Marketing"/>
        <s v="Sales"/>
        <s v="Finance"/>
        <s v="Customer Support"/>
        <s v="Human Resources"/>
        <s v="Engineering"/>
        <s v="Operations"/>
      </sharedItems>
    </cacheField>
    <cacheField name="JobTitle" numFmtId="0">
      <sharedItems/>
    </cacheField>
    <cacheField name="Gender" numFmtId="0">
      <sharedItems/>
    </cacheField>
    <cacheField name="Age" numFmtId="0">
      <sharedItems containsSemiMixedTypes="0" containsString="0" containsNumber="1" containsInteger="1" minValue="22" maxValue="60"/>
    </cacheField>
    <cacheField name="HireDate" numFmtId="0">
      <sharedItems/>
    </cacheField>
    <cacheField name="TerminationDate" numFmtId="0">
      <sharedItems containsBlank="1"/>
    </cacheField>
    <cacheField name="EmploymentStatus" numFmtId="0">
      <sharedItems/>
    </cacheField>
    <cacheField name="AnnualSalary" numFmtId="0">
      <sharedItems containsSemiMixedTypes="0" containsString="0" containsNumber="1" containsInteger="1" minValue="33096" maxValue="98355"/>
    </cacheField>
    <cacheField name="PerformanceRating" numFmtId="0">
      <sharedItems containsSemiMixedTypes="0" containsString="0" containsNumber="1" containsInteger="1" minValue="1" maxValue="5"/>
    </cacheField>
    <cacheField name="TenureYears" numFmtId="0">
      <sharedItems containsSemiMixedTypes="0" containsString="0" containsNumber="1" minValue="0.59452054794520548" maxValue="10.547945205479452"/>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200">
  <r>
    <s v="E1001"/>
    <s v="Anna"/>
    <x v="0"/>
    <x v="0"/>
    <s v="Marketing Specialist"/>
    <s v="Female"/>
    <n v="30"/>
    <s v="2024-04-04"/>
    <m/>
    <s v="Active"/>
    <n v="50935"/>
    <n v="2"/>
    <n v="2.3150684931506849"/>
  </r>
  <r>
    <s v="E1002"/>
    <s v="Max"/>
    <x v="1"/>
    <x v="1"/>
    <s v="Sales Rep"/>
    <s v="Male"/>
    <n v="36"/>
    <s v="2021-08-31"/>
    <s v="2021-11-23"/>
    <s v="Terminated"/>
    <n v="48195"/>
    <n v="3"/>
    <n v="4.9095890410958907"/>
  </r>
  <r>
    <s v="E1003"/>
    <s v="David"/>
    <x v="2"/>
    <x v="2"/>
    <s v="Accountant"/>
    <s v="Male"/>
    <n v="22"/>
    <s v="2024-07-05"/>
    <m/>
    <s v="Active"/>
    <n v="53924"/>
    <n v="3"/>
    <n v="2.0630136986301371"/>
  </r>
  <r>
    <s v="E1004"/>
    <s v="Sophie"/>
    <x v="3"/>
    <x v="1"/>
    <s v="Sales Rep"/>
    <s v="Female"/>
    <n v="46"/>
    <s v="2017-01-31"/>
    <m/>
    <s v="Active"/>
    <n v="44635"/>
    <n v="4"/>
    <n v="9.493150684931507"/>
  </r>
  <r>
    <s v="E1005"/>
    <s v="Lisa"/>
    <x v="2"/>
    <x v="2"/>
    <s v="Financial Analyst"/>
    <s v="Female"/>
    <n v="46"/>
    <s v="2016-11-18"/>
    <s v="2020-04-01"/>
    <s v="Terminated"/>
    <n v="65299"/>
    <n v="4"/>
    <n v="9.6958904109589046"/>
  </r>
  <r>
    <s v="E1006"/>
    <s v="Tom"/>
    <x v="4"/>
    <x v="3"/>
    <s v="Support Agent"/>
    <s v="Male"/>
    <n v="24"/>
    <s v="2023-06-01"/>
    <m/>
    <s v="Active"/>
    <n v="37741"/>
    <n v="5"/>
    <n v="3.1589041095890411"/>
  </r>
  <r>
    <s v="E1007"/>
    <s v="Sofia"/>
    <x v="5"/>
    <x v="4"/>
    <s v="Recruiter"/>
    <s v="Female"/>
    <n v="51"/>
    <s v="2023-02-16"/>
    <m/>
    <s v="Active"/>
    <n v="47664"/>
    <n v="3"/>
    <n v="3.4465753424657533"/>
  </r>
  <r>
    <s v="E1008"/>
    <s v="Hannah"/>
    <x v="0"/>
    <x v="3"/>
    <s v="Support Agent"/>
    <s v="Female"/>
    <n v="60"/>
    <s v="2023-02-13"/>
    <m/>
    <s v="Active"/>
    <n v="41751"/>
    <n v="4"/>
    <n v="3.4547945205479453"/>
  </r>
  <r>
    <s v="E1009"/>
    <s v="Emma"/>
    <x v="6"/>
    <x v="5"/>
    <s v="Engineering Manager"/>
    <s v="Female"/>
    <n v="57"/>
    <s v="2018-06-18"/>
    <m/>
    <s v="Active"/>
    <n v="89916"/>
    <n v="3"/>
    <n v="8.1150684931506856"/>
  </r>
  <r>
    <s v="E1010"/>
    <s v="Mia"/>
    <x v="3"/>
    <x v="4"/>
    <s v="Recruiter"/>
    <s v="Female"/>
    <n v="26"/>
    <s v="2018-05-14"/>
    <s v="2026-07-01"/>
    <s v="Terminated"/>
    <n v="50155"/>
    <n v="3"/>
    <n v="8.2109589041095887"/>
  </r>
  <r>
    <s v="E1011"/>
    <s v="Tim"/>
    <x v="2"/>
    <x v="0"/>
    <s v="Content Strategist"/>
    <s v="Male"/>
    <n v="30"/>
    <s v="2018-10-07"/>
    <s v="2024-11-21"/>
    <s v="Terminated"/>
    <n v="48304"/>
    <n v="4"/>
    <n v="7.8109589041095893"/>
  </r>
  <r>
    <s v="E1012"/>
    <s v="Finn"/>
    <x v="7"/>
    <x v="4"/>
    <s v="Recruiter"/>
    <s v="Male"/>
    <n v="36"/>
    <s v="2017-07-20"/>
    <s v="2023-03-02"/>
    <s v="Terminated"/>
    <n v="46489"/>
    <n v="4"/>
    <n v="9.0273972602739718"/>
  </r>
  <r>
    <s v="E1013"/>
    <s v="Laura"/>
    <x v="8"/>
    <x v="6"/>
    <s v="Operations Manager"/>
    <s v="Female"/>
    <n v="60"/>
    <s v="2016-09-17"/>
    <m/>
    <s v="Active"/>
    <n v="77252"/>
    <n v="4"/>
    <n v="9.8657534246575338"/>
  </r>
  <r>
    <s v="E1014"/>
    <s v="Jan"/>
    <x v="0"/>
    <x v="2"/>
    <s v="Financial Analyst"/>
    <s v="Male"/>
    <n v="29"/>
    <s v="2023-08-24"/>
    <s v="2025-03-22"/>
    <s v="Terminated"/>
    <n v="65501"/>
    <n v="3"/>
    <n v="2.9287671232876713"/>
  </r>
  <r>
    <s v="E1015"/>
    <s v="Tim"/>
    <x v="8"/>
    <x v="4"/>
    <s v="HR Coordinator"/>
    <s v="Male"/>
    <n v="38"/>
    <s v="2021-08-12"/>
    <m/>
    <s v="Active"/>
    <n v="45317"/>
    <n v="5"/>
    <n v="4.9616438356164387"/>
  </r>
  <r>
    <s v="E1016"/>
    <s v="Simon"/>
    <x v="9"/>
    <x v="2"/>
    <s v="Financial Analyst"/>
    <s v="Male"/>
    <n v="31"/>
    <s v="2020-03-11"/>
    <m/>
    <s v="Active"/>
    <n v="63837"/>
    <n v="5"/>
    <n v="6.3835616438356162"/>
  </r>
  <r>
    <s v="E1017"/>
    <s v="Clara"/>
    <x v="3"/>
    <x v="4"/>
    <s v="HR Coordinator"/>
    <s v="Female"/>
    <n v="29"/>
    <s v="2020-01-26"/>
    <m/>
    <s v="Active"/>
    <n v="40923"/>
    <n v="2"/>
    <n v="6.506849315068493"/>
  </r>
  <r>
    <s v="E1018"/>
    <s v="Maria"/>
    <x v="10"/>
    <x v="6"/>
    <s v="Operations Analyst"/>
    <s v="Female"/>
    <n v="56"/>
    <s v="2024-08-02"/>
    <m/>
    <s v="Active"/>
    <n v="49103"/>
    <n v="4"/>
    <n v="1.9863013698630136"/>
  </r>
  <r>
    <s v="E1019"/>
    <s v="Nina"/>
    <x v="9"/>
    <x v="6"/>
    <s v="Operations Manager"/>
    <s v="Female"/>
    <n v="35"/>
    <s v="2022-01-17"/>
    <m/>
    <s v="Active"/>
    <n v="76107"/>
    <n v="3"/>
    <n v="4.5287671232876709"/>
  </r>
  <r>
    <s v="E1020"/>
    <s v="Leon"/>
    <x v="9"/>
    <x v="4"/>
    <s v="HR Coordinator"/>
    <s v="Male"/>
    <n v="37"/>
    <s v="2018-07-09"/>
    <m/>
    <s v="Active"/>
    <n v="42539"/>
    <n v="1"/>
    <n v="8.0575342465753419"/>
  </r>
  <r>
    <s v="E1021"/>
    <s v="Clara"/>
    <x v="11"/>
    <x v="1"/>
    <s v="Sales Rep"/>
    <s v="Female"/>
    <n v="25"/>
    <s v="2018-07-26"/>
    <m/>
    <s v="Active"/>
    <n v="39514"/>
    <n v="5"/>
    <n v="8.0109589041095894"/>
  </r>
  <r>
    <s v="E1022"/>
    <s v="Lea"/>
    <x v="11"/>
    <x v="5"/>
    <s v="Engineering Manager"/>
    <s v="Female"/>
    <n v="53"/>
    <s v="2018-05-27"/>
    <s v="2019-12-19"/>
    <s v="Terminated"/>
    <n v="98355"/>
    <n v="4"/>
    <n v="8.1753424657534239"/>
  </r>
  <r>
    <s v="E1023"/>
    <s v="Mia"/>
    <x v="10"/>
    <x v="6"/>
    <s v="Operations Manager"/>
    <s v="Female"/>
    <n v="34"/>
    <s v="2017-01-21"/>
    <m/>
    <s v="Active"/>
    <n v="81796"/>
    <n v="3"/>
    <n v="9.5205479452054789"/>
  </r>
  <r>
    <s v="E1024"/>
    <s v="Tim"/>
    <x v="2"/>
    <x v="6"/>
    <s v="Operations Analyst"/>
    <s v="Male"/>
    <n v="28"/>
    <s v="2016-09-05"/>
    <m/>
    <s v="Active"/>
    <n v="52559"/>
    <n v="4"/>
    <n v="9.8986301369863021"/>
  </r>
  <r>
    <s v="E1025"/>
    <s v="Sophie"/>
    <x v="4"/>
    <x v="0"/>
    <s v="Marketing Manager"/>
    <s v="Female"/>
    <n v="50"/>
    <s v="2017-07-28"/>
    <m/>
    <s v="Active"/>
    <n v="75006"/>
    <n v="3"/>
    <n v="9.0054794520547947"/>
  </r>
  <r>
    <s v="E1026"/>
    <s v="Sofia"/>
    <x v="12"/>
    <x v="4"/>
    <s v="HR Manager"/>
    <s v="Female"/>
    <n v="28"/>
    <s v="2016-07-26"/>
    <s v="2026-01-09"/>
    <s v="Terminated"/>
    <n v="67241"/>
    <n v="5"/>
    <n v="10.010958904109589"/>
  </r>
  <r>
    <s v="E1027"/>
    <s v="Laura"/>
    <x v="13"/>
    <x v="4"/>
    <s v="Recruiter"/>
    <s v="Female"/>
    <n v="35"/>
    <s v="2025-09-11"/>
    <m/>
    <s v="Active"/>
    <n v="45960"/>
    <n v="3"/>
    <n v="0.87671232876712324"/>
  </r>
  <r>
    <s v="E1028"/>
    <s v="Sarah"/>
    <x v="0"/>
    <x v="6"/>
    <s v="Operations Manager"/>
    <s v="Female"/>
    <n v="40"/>
    <s v="2020-09-28"/>
    <s v="2026-04-13"/>
    <s v="Terminated"/>
    <n v="73536"/>
    <n v="3"/>
    <n v="5.8328767123287673"/>
  </r>
  <r>
    <s v="E1029"/>
    <s v="Anna"/>
    <x v="7"/>
    <x v="3"/>
    <s v="Support Agent"/>
    <s v="Female"/>
    <n v="42"/>
    <s v="2016-08-22"/>
    <m/>
    <s v="Active"/>
    <n v="42571"/>
    <n v="3"/>
    <n v="9.9369863013698634"/>
  </r>
  <r>
    <s v="E1030"/>
    <s v="Anna"/>
    <x v="9"/>
    <x v="1"/>
    <s v="Sales Rep"/>
    <s v="Female"/>
    <n v="26"/>
    <s v="2022-09-03"/>
    <m/>
    <s v="Active"/>
    <n v="42853"/>
    <n v="3"/>
    <n v="3.9013698630136986"/>
  </r>
  <r>
    <s v="E1031"/>
    <s v="Clara"/>
    <x v="14"/>
    <x v="1"/>
    <s v="Sales Manager"/>
    <s v="Female"/>
    <n v="27"/>
    <s v="2020-09-13"/>
    <s v="2024-04-30"/>
    <s v="Terminated"/>
    <n v="79272"/>
    <n v="3"/>
    <n v="5.8739726027397259"/>
  </r>
  <r>
    <s v="E1032"/>
    <s v="David"/>
    <x v="0"/>
    <x v="4"/>
    <s v="HR Coordinator"/>
    <s v="Male"/>
    <n v="41"/>
    <s v="2021-02-15"/>
    <m/>
    <s v="Active"/>
    <n v="38188"/>
    <n v="1"/>
    <n v="5.4493150684931511"/>
  </r>
  <r>
    <s v="E1033"/>
    <s v="Maria"/>
    <x v="15"/>
    <x v="0"/>
    <s v="Marketing Manager"/>
    <s v="Female"/>
    <n v="38"/>
    <s v="2017-06-26"/>
    <m/>
    <s v="Active"/>
    <n v="73127"/>
    <n v="5"/>
    <n v="9.0931506849315067"/>
  </r>
  <r>
    <s v="E1034"/>
    <s v="Jonas"/>
    <x v="8"/>
    <x v="4"/>
    <s v="HR Manager"/>
    <s v="Male"/>
    <n v="41"/>
    <s v="2022-11-10"/>
    <s v="2022-12-26"/>
    <s v="Terminated"/>
    <n v="77942"/>
    <n v="4"/>
    <n v="3.7150684931506848"/>
  </r>
  <r>
    <s v="E1035"/>
    <s v="Finn"/>
    <x v="5"/>
    <x v="0"/>
    <s v="Content Strategist"/>
    <s v="Male"/>
    <n v="29"/>
    <s v="2025-12-23"/>
    <m/>
    <s v="Active"/>
    <n v="53064"/>
    <n v="3"/>
    <n v="0.59452054794520548"/>
  </r>
  <r>
    <s v="E1036"/>
    <s v="Tom"/>
    <x v="4"/>
    <x v="3"/>
    <s v="Support Team Lead"/>
    <s v="Male"/>
    <n v="35"/>
    <s v="2023-09-16"/>
    <m/>
    <s v="Active"/>
    <n v="51280"/>
    <n v="3"/>
    <n v="2.8657534246575342"/>
  </r>
  <r>
    <s v="E1037"/>
    <s v="Maria"/>
    <x v="13"/>
    <x v="6"/>
    <s v="Operations Manager"/>
    <s v="Female"/>
    <n v="24"/>
    <s v="2016-01-15"/>
    <m/>
    <s v="Active"/>
    <n v="73143"/>
    <n v="4"/>
    <n v="10.53972602739726"/>
  </r>
  <r>
    <s v="E1038"/>
    <s v="Lukas"/>
    <x v="2"/>
    <x v="2"/>
    <s v="Finance Manager"/>
    <s v="Male"/>
    <n v="49"/>
    <s v="2022-04-16"/>
    <m/>
    <s v="Active"/>
    <n v="78832"/>
    <n v="2"/>
    <n v="4.2849315068493148"/>
  </r>
  <r>
    <s v="E1039"/>
    <s v="Lea"/>
    <x v="16"/>
    <x v="6"/>
    <s v="Operations Manager"/>
    <s v="Female"/>
    <n v="59"/>
    <s v="2022-03-13"/>
    <m/>
    <s v="Active"/>
    <n v="78041"/>
    <n v="2"/>
    <n v="4.3780821917808215"/>
  </r>
  <r>
    <s v="E1040"/>
    <s v="Felix"/>
    <x v="16"/>
    <x v="5"/>
    <s v="Software Engineer"/>
    <s v="Male"/>
    <n v="37"/>
    <s v="2023-06-24"/>
    <m/>
    <s v="Active"/>
    <n v="67794"/>
    <n v="4"/>
    <n v="3.095890410958904"/>
  </r>
  <r>
    <s v="E1041"/>
    <s v="Tom"/>
    <x v="17"/>
    <x v="0"/>
    <s v="Marketing Specialist"/>
    <s v="Male"/>
    <n v="33"/>
    <s v="2025-11-19"/>
    <m/>
    <s v="Active"/>
    <n v="42406"/>
    <n v="3"/>
    <n v="0.68767123287671228"/>
  </r>
  <r>
    <s v="E1042"/>
    <s v="Erik"/>
    <x v="13"/>
    <x v="6"/>
    <s v="Operations Analyst"/>
    <s v="Male"/>
    <n v="39"/>
    <s v="2017-10-14"/>
    <m/>
    <s v="Active"/>
    <n v="53267"/>
    <n v="5"/>
    <n v="8.7917808219178077"/>
  </r>
  <r>
    <s v="E1043"/>
    <s v="David"/>
    <x v="4"/>
    <x v="6"/>
    <s v="Operations Manager"/>
    <s v="Male"/>
    <n v="44"/>
    <s v="2019-06-04"/>
    <m/>
    <s v="Active"/>
    <n v="74652"/>
    <n v="1"/>
    <n v="7.1534246575342468"/>
  </r>
  <r>
    <s v="E1044"/>
    <s v="Sarah"/>
    <x v="3"/>
    <x v="5"/>
    <s v="Software Engineer"/>
    <s v="Female"/>
    <n v="39"/>
    <s v="2019-12-09"/>
    <s v="2024-07-02"/>
    <s v="Terminated"/>
    <n v="70785"/>
    <n v="3"/>
    <n v="6.6383561643835618"/>
  </r>
  <r>
    <s v="E1045"/>
    <s v="Maria"/>
    <x v="0"/>
    <x v="0"/>
    <s v="Marketing Manager"/>
    <s v="Female"/>
    <n v="38"/>
    <s v="2016-06-05"/>
    <m/>
    <s v="Active"/>
    <n v="81774"/>
    <n v="3"/>
    <n v="10.150684931506849"/>
  </r>
  <r>
    <s v="E1046"/>
    <s v="Tim"/>
    <x v="14"/>
    <x v="2"/>
    <s v="Financial Analyst"/>
    <s v="Male"/>
    <n v="46"/>
    <s v="2022-06-19"/>
    <m/>
    <s v="Active"/>
    <n v="59173"/>
    <n v="2"/>
    <n v="4.1095890410958908"/>
  </r>
  <r>
    <s v="E1047"/>
    <s v="Max"/>
    <x v="9"/>
    <x v="6"/>
    <s v="Operations Analyst"/>
    <s v="Male"/>
    <n v="45"/>
    <s v="2020-11-01"/>
    <m/>
    <s v="Active"/>
    <n v="57882"/>
    <n v="5"/>
    <n v="5.7397260273972606"/>
  </r>
  <r>
    <s v="E1048"/>
    <s v="Noah"/>
    <x v="5"/>
    <x v="3"/>
    <s v="Support Team Lead"/>
    <s v="Male"/>
    <n v="54"/>
    <s v="2019-06-20"/>
    <m/>
    <s v="Active"/>
    <n v="48344"/>
    <n v="3"/>
    <n v="7.1095890410958908"/>
  </r>
  <r>
    <s v="E1049"/>
    <s v="Jan"/>
    <x v="17"/>
    <x v="0"/>
    <s v="Content Strategist"/>
    <s v="Male"/>
    <n v="46"/>
    <s v="2023-08-06"/>
    <m/>
    <s v="Active"/>
    <n v="54084"/>
    <n v="4"/>
    <n v="2.978082191780822"/>
  </r>
  <r>
    <s v="E1050"/>
    <s v="Jan"/>
    <x v="1"/>
    <x v="5"/>
    <s v="QA Engineer"/>
    <s v="Male"/>
    <n v="35"/>
    <s v="2020-10-26"/>
    <s v="2024-07-06"/>
    <s v="Terminated"/>
    <n v="56618"/>
    <n v="3"/>
    <n v="5.7561643835616438"/>
  </r>
  <r>
    <s v="E1051"/>
    <s v="Lea"/>
    <x v="10"/>
    <x v="6"/>
    <s v="Operations Analyst"/>
    <s v="Female"/>
    <n v="27"/>
    <s v="2019-03-08"/>
    <s v="2026-05-12"/>
    <s v="Terminated"/>
    <n v="57145"/>
    <n v="3"/>
    <n v="7.3945205479452056"/>
  </r>
  <r>
    <s v="E1052"/>
    <s v="Hannah"/>
    <x v="18"/>
    <x v="0"/>
    <s v="Marketing Specialist"/>
    <s v="Female"/>
    <n v="31"/>
    <s v="2016-04-10"/>
    <m/>
    <s v="Active"/>
    <n v="46011"/>
    <n v="5"/>
    <n v="10.304109589041095"/>
  </r>
  <r>
    <s v="E1053"/>
    <s v="Emma"/>
    <x v="13"/>
    <x v="3"/>
    <s v="Support Agent"/>
    <s v="Female"/>
    <n v="46"/>
    <s v="2021-07-17"/>
    <m/>
    <s v="Active"/>
    <n v="36997"/>
    <n v="3"/>
    <n v="5.0328767123287674"/>
  </r>
  <r>
    <s v="E1054"/>
    <s v="Elena"/>
    <x v="5"/>
    <x v="6"/>
    <s v="Operations Manager"/>
    <s v="Female"/>
    <n v="36"/>
    <s v="2017-12-21"/>
    <s v="2023-04-06"/>
    <s v="Terminated"/>
    <n v="71822"/>
    <n v="4"/>
    <n v="8.6054794520547944"/>
  </r>
  <r>
    <s v="E1055"/>
    <s v="Emma"/>
    <x v="17"/>
    <x v="6"/>
    <s v="Operations Manager"/>
    <s v="Female"/>
    <n v="55"/>
    <s v="2022-04-08"/>
    <s v="2024-02-16"/>
    <s v="Terminated"/>
    <n v="78251"/>
    <n v="4"/>
    <n v="4.3068493150684928"/>
  </r>
  <r>
    <s v="E1056"/>
    <s v="Simon"/>
    <x v="15"/>
    <x v="4"/>
    <s v="HR Coordinator"/>
    <s v="Male"/>
    <n v="52"/>
    <s v="2021-01-17"/>
    <m/>
    <s v="Active"/>
    <n v="41050"/>
    <n v="4"/>
    <n v="5.5287671232876709"/>
  </r>
  <r>
    <s v="E1057"/>
    <s v="Erik"/>
    <x v="9"/>
    <x v="4"/>
    <s v="HR Manager"/>
    <s v="Male"/>
    <n v="37"/>
    <s v="2019-01-29"/>
    <m/>
    <s v="Active"/>
    <n v="68269"/>
    <n v="4"/>
    <n v="7.4986301369863018"/>
  </r>
  <r>
    <s v="E1058"/>
    <s v="Nina"/>
    <x v="3"/>
    <x v="5"/>
    <s v="Engineering Manager"/>
    <s v="Female"/>
    <n v="27"/>
    <s v="2017-07-20"/>
    <m/>
    <s v="Active"/>
    <n v="92788"/>
    <n v="3"/>
    <n v="9.0273972602739718"/>
  </r>
  <r>
    <s v="E1059"/>
    <s v="Lisa"/>
    <x v="4"/>
    <x v="1"/>
    <s v="Account Executive"/>
    <s v="Female"/>
    <n v="48"/>
    <s v="2019-09-17"/>
    <s v="2025-01-06"/>
    <s v="Terminated"/>
    <n v="58812"/>
    <n v="2"/>
    <n v="6.8657534246575347"/>
  </r>
  <r>
    <s v="E1060"/>
    <s v="Tim"/>
    <x v="7"/>
    <x v="3"/>
    <s v="Support Agent"/>
    <s v="Male"/>
    <n v="58"/>
    <s v="2020-04-07"/>
    <m/>
    <s v="Active"/>
    <n v="33096"/>
    <n v="5"/>
    <n v="6.3095890410958901"/>
  </r>
  <r>
    <s v="E1061"/>
    <s v="Erik"/>
    <x v="6"/>
    <x v="6"/>
    <s v="Operations Manager"/>
    <s v="Male"/>
    <n v="56"/>
    <s v="2024-05-19"/>
    <s v="2026-02-25"/>
    <s v="Terminated"/>
    <n v="74613"/>
    <n v="3"/>
    <n v="2.1917808219178081"/>
  </r>
  <r>
    <s v="E1062"/>
    <s v="Tim"/>
    <x v="10"/>
    <x v="1"/>
    <s v="Account Executive"/>
    <s v="Male"/>
    <n v="43"/>
    <s v="2023-07-02"/>
    <m/>
    <s v="Active"/>
    <n v="54704"/>
    <n v="4"/>
    <n v="3.0739726027397261"/>
  </r>
  <r>
    <s v="E1063"/>
    <s v="Clara"/>
    <x v="15"/>
    <x v="1"/>
    <s v="Account Executive"/>
    <s v="Female"/>
    <n v="59"/>
    <s v="2022-04-30"/>
    <m/>
    <s v="Active"/>
    <n v="53375"/>
    <n v="4"/>
    <n v="4.2465753424657535"/>
  </r>
  <r>
    <s v="E1064"/>
    <s v="Sofia"/>
    <x v="2"/>
    <x v="0"/>
    <s v="Marketing Specialist"/>
    <s v="Female"/>
    <n v="38"/>
    <s v="2020-04-01"/>
    <m/>
    <s v="Active"/>
    <n v="45467"/>
    <n v="3"/>
    <n v="6.3260273972602743"/>
  </r>
  <r>
    <s v="E1065"/>
    <s v="Erik"/>
    <x v="6"/>
    <x v="5"/>
    <s v="QA Engineer"/>
    <s v="Male"/>
    <n v="38"/>
    <s v="2025-05-12"/>
    <m/>
    <s v="Active"/>
    <n v="56705"/>
    <n v="1"/>
    <n v="1.210958904109589"/>
  </r>
  <r>
    <s v="E1066"/>
    <s v="Julia"/>
    <x v="11"/>
    <x v="3"/>
    <s v="Support Agent"/>
    <s v="Female"/>
    <n v="24"/>
    <s v="2024-06-16"/>
    <m/>
    <s v="Active"/>
    <n v="37051"/>
    <n v="3"/>
    <n v="2.1150684931506851"/>
  </r>
  <r>
    <s v="E1067"/>
    <s v="Clara"/>
    <x v="17"/>
    <x v="0"/>
    <s v="Marketing Specialist"/>
    <s v="Female"/>
    <n v="52"/>
    <s v="2023-07-05"/>
    <m/>
    <s v="Active"/>
    <n v="51240"/>
    <n v="5"/>
    <n v="3.0657534246575344"/>
  </r>
  <r>
    <s v="E1068"/>
    <s v="Ben"/>
    <x v="0"/>
    <x v="6"/>
    <s v="Operations Manager"/>
    <s v="Male"/>
    <n v="32"/>
    <s v="2022-10-17"/>
    <s v="2023-07-08"/>
    <s v="Terminated"/>
    <n v="73683"/>
    <n v="5"/>
    <n v="3.7808219178082192"/>
  </r>
  <r>
    <s v="E1069"/>
    <s v="Clara"/>
    <x v="1"/>
    <x v="5"/>
    <s v="Engineering Manager"/>
    <s v="Female"/>
    <n v="46"/>
    <s v="2020-06-12"/>
    <m/>
    <s v="Active"/>
    <n v="90245"/>
    <n v="4"/>
    <n v="6.1287671232876715"/>
  </r>
  <r>
    <s v="E1070"/>
    <s v="Maria"/>
    <x v="18"/>
    <x v="6"/>
    <s v="Operations Analyst"/>
    <s v="Female"/>
    <n v="58"/>
    <s v="2024-10-10"/>
    <m/>
    <s v="Active"/>
    <n v="52688"/>
    <n v="4"/>
    <n v="1.7972602739726027"/>
  </r>
  <r>
    <s v="E1071"/>
    <s v="Paul"/>
    <x v="9"/>
    <x v="3"/>
    <s v="Support Team Lead"/>
    <s v="Male"/>
    <n v="22"/>
    <s v="2025-07-11"/>
    <m/>
    <s v="Active"/>
    <n v="51031"/>
    <n v="2"/>
    <n v="1.0465753424657533"/>
  </r>
  <r>
    <s v="E1072"/>
    <s v="Noah"/>
    <x v="2"/>
    <x v="3"/>
    <s v="Support Agent"/>
    <s v="Male"/>
    <n v="49"/>
    <s v="2017-12-22"/>
    <s v="2025-05-08"/>
    <s v="Terminated"/>
    <n v="37425"/>
    <n v="4"/>
    <n v="8.6027397260273979"/>
  </r>
  <r>
    <s v="E1073"/>
    <s v="Leon"/>
    <x v="13"/>
    <x v="6"/>
    <s v="Operations Manager"/>
    <s v="Male"/>
    <n v="42"/>
    <s v="2025-07-20"/>
    <m/>
    <s v="Active"/>
    <n v="72419"/>
    <n v="3"/>
    <n v="1.021917808219178"/>
  </r>
  <r>
    <s v="E1074"/>
    <s v="David"/>
    <x v="2"/>
    <x v="2"/>
    <s v="Finance Manager"/>
    <s v="Male"/>
    <n v="46"/>
    <s v="2019-10-09"/>
    <m/>
    <s v="Active"/>
    <n v="85098"/>
    <n v="5"/>
    <n v="6.8054794520547945"/>
  </r>
  <r>
    <s v="E1075"/>
    <s v="Emma"/>
    <x v="4"/>
    <x v="5"/>
    <s v="QA Engineer"/>
    <s v="Female"/>
    <n v="43"/>
    <s v="2019-02-19"/>
    <s v="2022-04-25"/>
    <s v="Terminated"/>
    <n v="58106"/>
    <n v="1"/>
    <n v="7.441095890410959"/>
  </r>
  <r>
    <s v="E1076"/>
    <s v="Maria"/>
    <x v="11"/>
    <x v="3"/>
    <s v="Support Team Lead"/>
    <s v="Female"/>
    <n v="53"/>
    <s v="2022-03-24"/>
    <m/>
    <s v="Active"/>
    <n v="50800"/>
    <n v="4"/>
    <n v="4.3479452054794523"/>
  </r>
  <r>
    <s v="E1077"/>
    <s v="Leon"/>
    <x v="1"/>
    <x v="1"/>
    <s v="Account Executive"/>
    <s v="Male"/>
    <n v="36"/>
    <s v="2020-07-14"/>
    <m/>
    <s v="Active"/>
    <n v="57016"/>
    <n v="4"/>
    <n v="6.0410958904109586"/>
  </r>
  <r>
    <s v="E1078"/>
    <s v="Leon"/>
    <x v="15"/>
    <x v="2"/>
    <s v="Accountant"/>
    <s v="Male"/>
    <n v="49"/>
    <s v="2024-05-13"/>
    <s v="2025-05-16"/>
    <s v="Terminated"/>
    <n v="52764"/>
    <n v="4"/>
    <n v="2.2082191780821918"/>
  </r>
  <r>
    <s v="E1079"/>
    <s v="Jonas"/>
    <x v="0"/>
    <x v="0"/>
    <s v="Marketing Specialist"/>
    <s v="Male"/>
    <n v="34"/>
    <s v="2019-07-16"/>
    <m/>
    <s v="Active"/>
    <n v="50779"/>
    <n v="5"/>
    <n v="7.0383561643835613"/>
  </r>
  <r>
    <s v="E1080"/>
    <s v="Sophie"/>
    <x v="4"/>
    <x v="3"/>
    <s v="Support Team Lead"/>
    <s v="Female"/>
    <n v="39"/>
    <s v="2024-02-15"/>
    <s v="2026-05-03"/>
    <s v="Terminated"/>
    <n v="51595"/>
    <n v="4"/>
    <n v="2.4493150684931506"/>
  </r>
  <r>
    <s v="E1081"/>
    <s v="Sofia"/>
    <x v="4"/>
    <x v="5"/>
    <s v="Software Engineer"/>
    <s v="Female"/>
    <n v="45"/>
    <s v="2018-01-04"/>
    <m/>
    <s v="Active"/>
    <n v="62231"/>
    <n v="4"/>
    <n v="8.5671232876712331"/>
  </r>
  <r>
    <s v="E1082"/>
    <s v="Nina"/>
    <x v="16"/>
    <x v="1"/>
    <s v="Sales Manager"/>
    <s v="Female"/>
    <n v="40"/>
    <s v="2023-10-27"/>
    <m/>
    <s v="Active"/>
    <n v="85450"/>
    <n v="5"/>
    <n v="2.7534246575342465"/>
  </r>
  <r>
    <s v="E1083"/>
    <s v="Paul"/>
    <x v="1"/>
    <x v="2"/>
    <s v="Accountant"/>
    <s v="Male"/>
    <n v="52"/>
    <s v="2021-05-14"/>
    <m/>
    <s v="Active"/>
    <n v="52582"/>
    <n v="3"/>
    <n v="5.2082191780821914"/>
  </r>
  <r>
    <s v="E1084"/>
    <s v="Nina"/>
    <x v="10"/>
    <x v="1"/>
    <s v="Sales Rep"/>
    <s v="Female"/>
    <n v="47"/>
    <s v="2021-07-07"/>
    <m/>
    <s v="Active"/>
    <n v="48453"/>
    <n v="4"/>
    <n v="5.0602739726027401"/>
  </r>
  <r>
    <s v="E1085"/>
    <s v="Laura"/>
    <x v="17"/>
    <x v="6"/>
    <s v="Operations Manager"/>
    <s v="Female"/>
    <n v="27"/>
    <s v="2018-10-13"/>
    <m/>
    <s v="Active"/>
    <n v="80143"/>
    <n v="4"/>
    <n v="7.7945205479452051"/>
  </r>
  <r>
    <s v="E1086"/>
    <s v="Mia"/>
    <x v="9"/>
    <x v="4"/>
    <s v="Recruiter"/>
    <s v="Female"/>
    <n v="50"/>
    <s v="2019-05-02"/>
    <s v="2024-03-22"/>
    <s v="Terminated"/>
    <n v="50003"/>
    <n v="4"/>
    <n v="7.2438356164383562"/>
  </r>
  <r>
    <s v="E1087"/>
    <s v="Clara"/>
    <x v="5"/>
    <x v="6"/>
    <s v="Operations Analyst"/>
    <s v="Female"/>
    <n v="35"/>
    <s v="2018-12-19"/>
    <m/>
    <s v="Active"/>
    <n v="49573"/>
    <n v="3"/>
    <n v="7.6109589041095891"/>
  </r>
  <r>
    <s v="E1088"/>
    <s v="Laura"/>
    <x v="1"/>
    <x v="4"/>
    <s v="Recruiter"/>
    <s v="Female"/>
    <n v="60"/>
    <s v="2021-04-08"/>
    <m/>
    <s v="Active"/>
    <n v="45534"/>
    <n v="3"/>
    <n v="5.3068493150684928"/>
  </r>
  <r>
    <s v="E1089"/>
    <s v="Ben"/>
    <x v="2"/>
    <x v="1"/>
    <s v="Sales Manager"/>
    <s v="Male"/>
    <n v="36"/>
    <s v="2018-12-19"/>
    <s v="2026-06-18"/>
    <s v="Terminated"/>
    <n v="78241"/>
    <n v="3"/>
    <n v="7.6109589041095891"/>
  </r>
  <r>
    <s v="E1090"/>
    <s v="Hannah"/>
    <x v="17"/>
    <x v="5"/>
    <s v="Software Engineer"/>
    <s v="Female"/>
    <n v="26"/>
    <s v="2016-09-01"/>
    <m/>
    <s v="Active"/>
    <n v="67039"/>
    <n v="4"/>
    <n v="9.9095890410958898"/>
  </r>
  <r>
    <s v="E1091"/>
    <s v="Leon"/>
    <x v="5"/>
    <x v="4"/>
    <s v="HR Manager"/>
    <s v="Male"/>
    <n v="41"/>
    <s v="2023-11-06"/>
    <m/>
    <s v="Active"/>
    <n v="71460"/>
    <n v="3"/>
    <n v="2.7260273972602738"/>
  </r>
  <r>
    <s v="E1092"/>
    <s v="Leon"/>
    <x v="12"/>
    <x v="2"/>
    <s v="Financial Analyst"/>
    <s v="Male"/>
    <n v="49"/>
    <s v="2024-03-27"/>
    <m/>
    <s v="Active"/>
    <n v="64891"/>
    <n v="3"/>
    <n v="2.3369863013698629"/>
  </r>
  <r>
    <s v="E1093"/>
    <s v="Sophie"/>
    <x v="7"/>
    <x v="2"/>
    <s v="Financial Analyst"/>
    <s v="Female"/>
    <n v="39"/>
    <s v="2022-06-18"/>
    <m/>
    <s v="Active"/>
    <n v="57870"/>
    <n v="3"/>
    <n v="4.1123287671232873"/>
  </r>
  <r>
    <s v="E1094"/>
    <s v="Finn"/>
    <x v="0"/>
    <x v="0"/>
    <s v="Marketing Manager"/>
    <s v="Male"/>
    <n v="49"/>
    <s v="2023-02-13"/>
    <m/>
    <s v="Active"/>
    <n v="73494"/>
    <n v="3"/>
    <n v="3.4547945205479453"/>
  </r>
  <r>
    <s v="E1095"/>
    <s v="Felix"/>
    <x v="3"/>
    <x v="3"/>
    <s v="Support Agent"/>
    <s v="Male"/>
    <n v="32"/>
    <s v="2019-09-12"/>
    <m/>
    <s v="Active"/>
    <n v="41117"/>
    <n v="3"/>
    <n v="6.8794520547945206"/>
  </r>
  <r>
    <s v="E1096"/>
    <s v="Simon"/>
    <x v="15"/>
    <x v="1"/>
    <s v="Account Executive"/>
    <s v="Male"/>
    <n v="27"/>
    <s v="2019-07-12"/>
    <m/>
    <s v="Active"/>
    <n v="57296"/>
    <n v="2"/>
    <n v="7.0493150684931507"/>
  </r>
  <r>
    <s v="E1097"/>
    <s v="Simon"/>
    <x v="9"/>
    <x v="6"/>
    <s v="Operations Analyst"/>
    <s v="Male"/>
    <n v="56"/>
    <s v="2021-03-07"/>
    <m/>
    <s v="Active"/>
    <n v="47888"/>
    <n v="3"/>
    <n v="5.3945205479452056"/>
  </r>
  <r>
    <s v="E1098"/>
    <s v="Tom"/>
    <x v="10"/>
    <x v="3"/>
    <s v="Support Team Lead"/>
    <s v="Male"/>
    <n v="25"/>
    <s v="2018-04-13"/>
    <m/>
    <s v="Active"/>
    <n v="51998"/>
    <n v="3"/>
    <n v="8.2958904109589042"/>
  </r>
  <r>
    <s v="E1099"/>
    <s v="Leon"/>
    <x v="10"/>
    <x v="1"/>
    <s v="Sales Rep"/>
    <s v="Male"/>
    <n v="60"/>
    <s v="2024-12-17"/>
    <m/>
    <s v="Active"/>
    <n v="41594"/>
    <n v="3"/>
    <n v="1.6109589041095891"/>
  </r>
  <r>
    <s v="E1100"/>
    <s v="Lea"/>
    <x v="13"/>
    <x v="1"/>
    <s v="Sales Rep"/>
    <s v="Female"/>
    <n v="29"/>
    <s v="2021-03-05"/>
    <m/>
    <s v="Active"/>
    <n v="49612"/>
    <n v="4"/>
    <n v="5.4"/>
  </r>
  <r>
    <s v="E1101"/>
    <s v="Finn"/>
    <x v="18"/>
    <x v="2"/>
    <s v="Finance Manager"/>
    <s v="Male"/>
    <n v="39"/>
    <s v="2020-08-28"/>
    <m/>
    <s v="Active"/>
    <n v="84736"/>
    <n v="3"/>
    <n v="5.9178082191780819"/>
  </r>
  <r>
    <s v="E1102"/>
    <s v="Sarah"/>
    <x v="4"/>
    <x v="2"/>
    <s v="Finance Manager"/>
    <s v="Female"/>
    <n v="30"/>
    <s v="2025-09-09"/>
    <m/>
    <s v="Active"/>
    <n v="81526"/>
    <n v="4"/>
    <n v="0.88219178082191785"/>
  </r>
  <r>
    <s v="E1103"/>
    <s v="Felix"/>
    <x v="9"/>
    <x v="5"/>
    <s v="Software Engineer"/>
    <s v="Male"/>
    <n v="40"/>
    <s v="2024-02-21"/>
    <m/>
    <s v="Active"/>
    <n v="71616"/>
    <n v="4"/>
    <n v="2.4328767123287673"/>
  </r>
  <r>
    <s v="E1104"/>
    <s v="Simon"/>
    <x v="17"/>
    <x v="4"/>
    <s v="HR Manager"/>
    <s v="Male"/>
    <n v="52"/>
    <s v="2019-11-14"/>
    <m/>
    <s v="Active"/>
    <n v="76042"/>
    <n v="4"/>
    <n v="6.7068493150684931"/>
  </r>
  <r>
    <s v="E1105"/>
    <s v="Leon"/>
    <x v="3"/>
    <x v="6"/>
    <s v="Operations Analyst"/>
    <s v="Male"/>
    <n v="37"/>
    <s v="2022-05-31"/>
    <m/>
    <s v="Active"/>
    <n v="50826"/>
    <n v="5"/>
    <n v="4.161643835616438"/>
  </r>
  <r>
    <s v="E1106"/>
    <s v="Max"/>
    <x v="3"/>
    <x v="3"/>
    <s v="Support Team Lead"/>
    <s v="Male"/>
    <n v="46"/>
    <s v="2020-04-30"/>
    <m/>
    <s v="Active"/>
    <n v="51115"/>
    <n v="5"/>
    <n v="6.2465753424657535"/>
  </r>
  <r>
    <s v="E1107"/>
    <s v="Lea"/>
    <x v="7"/>
    <x v="5"/>
    <s v="Software Engineer"/>
    <s v="Female"/>
    <n v="50"/>
    <s v="2017-02-12"/>
    <s v="2022-04-28"/>
    <s v="Terminated"/>
    <n v="62251"/>
    <n v="4"/>
    <n v="9.4602739726027405"/>
  </r>
  <r>
    <s v="E1108"/>
    <s v="Simon"/>
    <x v="17"/>
    <x v="1"/>
    <s v="Account Executive"/>
    <s v="Male"/>
    <n v="38"/>
    <s v="2019-10-18"/>
    <s v="2024-05-02"/>
    <s v="Terminated"/>
    <n v="62646"/>
    <n v="2"/>
    <n v="6.7808219178082192"/>
  </r>
  <r>
    <s v="E1109"/>
    <s v="Simon"/>
    <x v="15"/>
    <x v="4"/>
    <s v="Recruiter"/>
    <s v="Male"/>
    <n v="53"/>
    <s v="2025-10-13"/>
    <s v="2025-11-30"/>
    <s v="Terminated"/>
    <n v="55116"/>
    <n v="2"/>
    <n v="0.78904109589041094"/>
  </r>
  <r>
    <s v="E1110"/>
    <s v="David"/>
    <x v="12"/>
    <x v="4"/>
    <s v="HR Coordinator"/>
    <s v="Male"/>
    <n v="28"/>
    <s v="2020-12-22"/>
    <m/>
    <s v="Active"/>
    <n v="41906"/>
    <n v="5"/>
    <n v="5.6"/>
  </r>
  <r>
    <s v="E1111"/>
    <s v="Julia"/>
    <x v="16"/>
    <x v="5"/>
    <s v="QA Engineer"/>
    <s v="Female"/>
    <n v="45"/>
    <s v="2020-10-30"/>
    <m/>
    <s v="Active"/>
    <n v="53000"/>
    <n v="4"/>
    <n v="5.7452054794520544"/>
  </r>
  <r>
    <s v="E1112"/>
    <s v="Laura"/>
    <x v="8"/>
    <x v="1"/>
    <s v="Sales Manager"/>
    <s v="Female"/>
    <n v="46"/>
    <s v="2022-12-13"/>
    <m/>
    <s v="Active"/>
    <n v="83153"/>
    <n v="5"/>
    <n v="3.6246575342465754"/>
  </r>
  <r>
    <s v="E1113"/>
    <s v="Sophie"/>
    <x v="2"/>
    <x v="3"/>
    <s v="Support Team Lead"/>
    <s v="Female"/>
    <n v="51"/>
    <s v="2018-11-11"/>
    <m/>
    <s v="Active"/>
    <n v="50622"/>
    <n v="5"/>
    <n v="7.7150684931506852"/>
  </r>
  <r>
    <s v="E1114"/>
    <s v="Maria"/>
    <x v="2"/>
    <x v="5"/>
    <s v="Engineering Manager"/>
    <s v="Female"/>
    <n v="41"/>
    <s v="2023-03-02"/>
    <m/>
    <s v="Active"/>
    <n v="93097"/>
    <n v="3"/>
    <n v="3.408219178082192"/>
  </r>
  <r>
    <s v="E1115"/>
    <s v="David"/>
    <x v="6"/>
    <x v="6"/>
    <s v="Operations Manager"/>
    <s v="Male"/>
    <n v="28"/>
    <s v="2018-08-29"/>
    <m/>
    <s v="Active"/>
    <n v="80370"/>
    <n v="3"/>
    <n v="7.9178082191780819"/>
  </r>
  <r>
    <s v="E1116"/>
    <s v="Ben"/>
    <x v="18"/>
    <x v="1"/>
    <s v="Sales Manager"/>
    <s v="Male"/>
    <n v="47"/>
    <s v="2019-01-29"/>
    <m/>
    <s v="Active"/>
    <n v="84272"/>
    <n v="5"/>
    <n v="7.4986301369863018"/>
  </r>
  <r>
    <s v="E1117"/>
    <s v="Elena"/>
    <x v="14"/>
    <x v="3"/>
    <s v="Support Team Lead"/>
    <s v="Female"/>
    <n v="40"/>
    <s v="2024-09-12"/>
    <m/>
    <s v="Active"/>
    <n v="52946"/>
    <n v="4"/>
    <n v="1.8739726027397261"/>
  </r>
  <r>
    <s v="E1118"/>
    <s v="Hannah"/>
    <x v="4"/>
    <x v="2"/>
    <s v="Accountant"/>
    <s v="Female"/>
    <n v="30"/>
    <s v="2023-01-17"/>
    <m/>
    <s v="Active"/>
    <n v="57280"/>
    <n v="4"/>
    <n v="3.5287671232876714"/>
  </r>
  <r>
    <s v="E1119"/>
    <s v="Erik"/>
    <x v="2"/>
    <x v="1"/>
    <s v="Sales Manager"/>
    <s v="Male"/>
    <n v="45"/>
    <s v="2024-03-18"/>
    <m/>
    <s v="Active"/>
    <n v="76476"/>
    <n v="5"/>
    <n v="2.3616438356164382"/>
  </r>
  <r>
    <s v="E1120"/>
    <s v="Ben"/>
    <x v="13"/>
    <x v="0"/>
    <s v="Marketing Specialist"/>
    <s v="Male"/>
    <n v="30"/>
    <s v="2024-10-26"/>
    <s v="2025-12-04"/>
    <s v="Terminated"/>
    <n v="50697"/>
    <n v="3"/>
    <n v="1.7534246575342465"/>
  </r>
  <r>
    <s v="E1121"/>
    <s v="Simon"/>
    <x v="8"/>
    <x v="5"/>
    <s v="QA Engineer"/>
    <s v="Male"/>
    <n v="40"/>
    <s v="2024-05-15"/>
    <m/>
    <s v="Active"/>
    <n v="50886"/>
    <n v="3"/>
    <n v="2.2027397260273971"/>
  </r>
  <r>
    <s v="E1122"/>
    <s v="Laura"/>
    <x v="11"/>
    <x v="6"/>
    <s v="Operations Manager"/>
    <s v="Female"/>
    <n v="57"/>
    <s v="2020-02-07"/>
    <m/>
    <s v="Active"/>
    <n v="77464"/>
    <n v="1"/>
    <n v="6.4739726027397264"/>
  </r>
  <r>
    <s v="E1123"/>
    <s v="Emma"/>
    <x v="19"/>
    <x v="3"/>
    <s v="Support Team Lead"/>
    <s v="Female"/>
    <n v="59"/>
    <s v="2020-04-09"/>
    <m/>
    <s v="Active"/>
    <n v="44775"/>
    <n v="4"/>
    <n v="6.3041095890410963"/>
  </r>
  <r>
    <s v="E1124"/>
    <s v="Max"/>
    <x v="14"/>
    <x v="2"/>
    <s v="Accountant"/>
    <s v="Male"/>
    <n v="36"/>
    <s v="2023-04-06"/>
    <m/>
    <s v="Active"/>
    <n v="57410"/>
    <n v="4"/>
    <n v="3.3123287671232875"/>
  </r>
  <r>
    <s v="E1125"/>
    <s v="Noah"/>
    <x v="13"/>
    <x v="1"/>
    <s v="Sales Rep"/>
    <s v="Male"/>
    <n v="24"/>
    <s v="2016-06-01"/>
    <m/>
    <s v="Active"/>
    <n v="47071"/>
    <n v="2"/>
    <n v="10.161643835616438"/>
  </r>
  <r>
    <s v="E1126"/>
    <s v="Elena"/>
    <x v="15"/>
    <x v="0"/>
    <s v="Content Strategist"/>
    <s v="Female"/>
    <n v="51"/>
    <s v="2020-02-28"/>
    <s v="2024-12-09"/>
    <s v="Terminated"/>
    <n v="53622"/>
    <n v="4"/>
    <n v="6.4164383561643836"/>
  </r>
  <r>
    <s v="E1127"/>
    <s v="Elena"/>
    <x v="13"/>
    <x v="3"/>
    <s v="Support Agent"/>
    <s v="Female"/>
    <n v="53"/>
    <s v="2022-11-26"/>
    <m/>
    <s v="Active"/>
    <n v="37583"/>
    <n v="2"/>
    <n v="3.6712328767123288"/>
  </r>
  <r>
    <s v="E1128"/>
    <s v="David"/>
    <x v="2"/>
    <x v="4"/>
    <s v="HR Coordinator"/>
    <s v="Male"/>
    <n v="45"/>
    <s v="2017-02-10"/>
    <m/>
    <s v="Active"/>
    <n v="45920"/>
    <n v="5"/>
    <n v="9.4657534246575334"/>
  </r>
  <r>
    <s v="E1129"/>
    <s v="Max"/>
    <x v="6"/>
    <x v="5"/>
    <s v="Software Engineer"/>
    <s v="Male"/>
    <n v="29"/>
    <s v="2025-07-05"/>
    <m/>
    <s v="Active"/>
    <n v="63501"/>
    <n v="4"/>
    <n v="1.0630136986301371"/>
  </r>
  <r>
    <s v="E1130"/>
    <s v="Anna"/>
    <x v="3"/>
    <x v="0"/>
    <s v="Marketing Specialist"/>
    <s v="Female"/>
    <n v="58"/>
    <s v="2018-04-20"/>
    <m/>
    <s v="Active"/>
    <n v="51080"/>
    <n v="3"/>
    <n v="8.2767123287671236"/>
  </r>
  <r>
    <s v="E1131"/>
    <s v="Sofia"/>
    <x v="11"/>
    <x v="5"/>
    <s v="Software Engineer"/>
    <s v="Female"/>
    <n v="60"/>
    <s v="2016-01-12"/>
    <m/>
    <s v="Active"/>
    <n v="64370"/>
    <n v="5"/>
    <n v="10.547945205479452"/>
  </r>
  <r>
    <s v="E1132"/>
    <s v="Erik"/>
    <x v="8"/>
    <x v="1"/>
    <s v="Sales Manager"/>
    <s v="Male"/>
    <n v="23"/>
    <s v="2017-06-23"/>
    <m/>
    <s v="Active"/>
    <n v="80869"/>
    <n v="4"/>
    <n v="9.1013698630136979"/>
  </r>
  <r>
    <s v="E1133"/>
    <s v="Clara"/>
    <x v="3"/>
    <x v="1"/>
    <s v="Sales Rep"/>
    <s v="Female"/>
    <n v="38"/>
    <s v="2016-08-02"/>
    <m/>
    <s v="Active"/>
    <n v="45897"/>
    <n v="3"/>
    <n v="9.9917808219178088"/>
  </r>
  <r>
    <s v="E1134"/>
    <s v="Emma"/>
    <x v="2"/>
    <x v="6"/>
    <s v="Operations Manager"/>
    <s v="Female"/>
    <n v="54"/>
    <s v="2022-08-28"/>
    <m/>
    <s v="Active"/>
    <n v="78405"/>
    <n v="3"/>
    <n v="3.9178082191780823"/>
  </r>
  <r>
    <s v="E1135"/>
    <s v="Lisa"/>
    <x v="9"/>
    <x v="5"/>
    <s v="QA Engineer"/>
    <s v="Female"/>
    <n v="23"/>
    <s v="2016-09-06"/>
    <m/>
    <s v="Active"/>
    <n v="55580"/>
    <n v="3"/>
    <n v="9.8958904109589039"/>
  </r>
  <r>
    <s v="E1136"/>
    <s v="Emma"/>
    <x v="2"/>
    <x v="1"/>
    <s v="Sales Rep"/>
    <s v="Female"/>
    <n v="42"/>
    <s v="2022-10-27"/>
    <m/>
    <s v="Active"/>
    <n v="40076"/>
    <n v="2"/>
    <n v="3.7534246575342465"/>
  </r>
  <r>
    <s v="E1137"/>
    <s v="Tim"/>
    <x v="14"/>
    <x v="2"/>
    <s v="Accountant"/>
    <s v="Male"/>
    <n v="51"/>
    <s v="2021-09-01"/>
    <s v="2024-02-29"/>
    <s v="Terminated"/>
    <n v="48624"/>
    <n v="4"/>
    <n v="4.9068493150684933"/>
  </r>
  <r>
    <s v="E1138"/>
    <s v="Sofia"/>
    <x v="15"/>
    <x v="3"/>
    <s v="Support Agent"/>
    <s v="Female"/>
    <n v="49"/>
    <s v="2021-01-23"/>
    <m/>
    <s v="Active"/>
    <n v="39779"/>
    <n v="3"/>
    <n v="5.5123287671232877"/>
  </r>
  <r>
    <s v="E1139"/>
    <s v="Tim"/>
    <x v="13"/>
    <x v="3"/>
    <s v="Support Agent"/>
    <s v="Male"/>
    <n v="42"/>
    <s v="2020-10-14"/>
    <m/>
    <s v="Active"/>
    <n v="43897"/>
    <n v="3"/>
    <n v="5.7890410958904113"/>
  </r>
  <r>
    <s v="E1140"/>
    <s v="Hannah"/>
    <x v="10"/>
    <x v="1"/>
    <s v="Sales Rep"/>
    <s v="Female"/>
    <n v="27"/>
    <s v="2017-01-16"/>
    <m/>
    <s v="Active"/>
    <n v="40582"/>
    <n v="4"/>
    <n v="9.5342465753424666"/>
  </r>
  <r>
    <s v="E1141"/>
    <s v="Erik"/>
    <x v="17"/>
    <x v="2"/>
    <s v="Financial Analyst"/>
    <s v="Male"/>
    <n v="59"/>
    <s v="2022-04-19"/>
    <s v="2024-03-24"/>
    <s v="Terminated"/>
    <n v="65977"/>
    <n v="2"/>
    <n v="4.2767123287671236"/>
  </r>
  <r>
    <s v="E1142"/>
    <s v="Simon"/>
    <x v="13"/>
    <x v="6"/>
    <s v="Operations Analyst"/>
    <s v="Male"/>
    <n v="40"/>
    <s v="2022-09-25"/>
    <m/>
    <s v="Active"/>
    <n v="52761"/>
    <n v="2"/>
    <n v="3.8410958904109589"/>
  </r>
  <r>
    <s v="E1143"/>
    <s v="Laura"/>
    <x v="10"/>
    <x v="0"/>
    <s v="Marketing Specialist"/>
    <s v="Female"/>
    <n v="44"/>
    <s v="2025-06-24"/>
    <s v="2026-01-28"/>
    <s v="Terminated"/>
    <n v="43882"/>
    <n v="4"/>
    <n v="1.0931506849315069"/>
  </r>
  <r>
    <s v="E1144"/>
    <s v="Mia"/>
    <x v="13"/>
    <x v="6"/>
    <s v="Operations Analyst"/>
    <s v="Female"/>
    <n v="60"/>
    <s v="2023-05-18"/>
    <m/>
    <s v="Active"/>
    <n v="47474"/>
    <n v="3"/>
    <n v="3.1972602739726028"/>
  </r>
  <r>
    <s v="E1145"/>
    <s v="Finn"/>
    <x v="3"/>
    <x v="5"/>
    <s v="Software Engineer"/>
    <s v="Male"/>
    <n v="33"/>
    <s v="2025-10-02"/>
    <m/>
    <s v="Active"/>
    <n v="71278"/>
    <n v="4"/>
    <n v="0.81917808219178079"/>
  </r>
  <r>
    <s v="E1146"/>
    <s v="Laura"/>
    <x v="1"/>
    <x v="1"/>
    <s v="Sales Manager"/>
    <s v="Female"/>
    <n v="55"/>
    <s v="2018-05-31"/>
    <m/>
    <s v="Active"/>
    <n v="81878"/>
    <n v="3"/>
    <n v="8.1643835616438363"/>
  </r>
  <r>
    <s v="E1147"/>
    <s v="Julia"/>
    <x v="18"/>
    <x v="3"/>
    <s v="Support Team Lead"/>
    <s v="Female"/>
    <n v="58"/>
    <s v="2022-09-08"/>
    <m/>
    <s v="Active"/>
    <n v="43861"/>
    <n v="3"/>
    <n v="3.8876712328767122"/>
  </r>
  <r>
    <s v="E1148"/>
    <s v="Hannah"/>
    <x v="12"/>
    <x v="5"/>
    <s v="QA Engineer"/>
    <s v="Female"/>
    <n v="49"/>
    <s v="2021-06-12"/>
    <s v="2024-01-03"/>
    <s v="Terminated"/>
    <n v="55785"/>
    <n v="3"/>
    <n v="5.1287671232876715"/>
  </r>
  <r>
    <s v="E1149"/>
    <s v="Julia"/>
    <x v="13"/>
    <x v="1"/>
    <s v="Account Executive"/>
    <s v="Female"/>
    <n v="59"/>
    <s v="2021-06-16"/>
    <s v="2025-04-12"/>
    <s v="Terminated"/>
    <n v="57053"/>
    <n v="2"/>
    <n v="5.117808219178082"/>
  </r>
  <r>
    <s v="E1150"/>
    <s v="Tom"/>
    <x v="16"/>
    <x v="1"/>
    <s v="Sales Rep"/>
    <s v="Male"/>
    <n v="41"/>
    <s v="2018-05-15"/>
    <m/>
    <s v="Active"/>
    <n v="43186"/>
    <n v="3"/>
    <n v="8.2082191780821923"/>
  </r>
  <r>
    <s v="E1151"/>
    <s v="Anna"/>
    <x v="10"/>
    <x v="3"/>
    <s v="Support Team Lead"/>
    <s v="Female"/>
    <n v="33"/>
    <s v="2017-06-13"/>
    <m/>
    <s v="Active"/>
    <n v="51725"/>
    <n v="4"/>
    <n v="9.1287671232876715"/>
  </r>
  <r>
    <s v="E1152"/>
    <s v="Paul"/>
    <x v="6"/>
    <x v="6"/>
    <s v="Operations Analyst"/>
    <s v="Male"/>
    <n v="49"/>
    <s v="2016-03-17"/>
    <m/>
    <s v="Active"/>
    <n v="48275"/>
    <n v="5"/>
    <n v="10.36986301369863"/>
  </r>
  <r>
    <s v="E1153"/>
    <s v="Tom"/>
    <x v="6"/>
    <x v="3"/>
    <s v="Support Team Lead"/>
    <s v="Male"/>
    <n v="40"/>
    <s v="2017-04-16"/>
    <m/>
    <s v="Active"/>
    <n v="43341"/>
    <n v="5"/>
    <n v="9.287671232876713"/>
  </r>
  <r>
    <s v="E1154"/>
    <s v="Mia"/>
    <x v="14"/>
    <x v="4"/>
    <s v="HR Manager"/>
    <s v="Female"/>
    <n v="45"/>
    <s v="2016-12-26"/>
    <m/>
    <s v="Active"/>
    <n v="68734"/>
    <n v="3"/>
    <n v="9.5917808219178085"/>
  </r>
  <r>
    <s v="E1155"/>
    <s v="Jan"/>
    <x v="12"/>
    <x v="4"/>
    <s v="Recruiter"/>
    <s v="Male"/>
    <n v="43"/>
    <s v="2018-06-26"/>
    <m/>
    <s v="Active"/>
    <n v="47754"/>
    <n v="2"/>
    <n v="8.0931506849315067"/>
  </r>
  <r>
    <s v="E1156"/>
    <s v="Lea"/>
    <x v="9"/>
    <x v="0"/>
    <s v="Content Strategist"/>
    <s v="Female"/>
    <n v="44"/>
    <s v="2024-02-27"/>
    <m/>
    <s v="Active"/>
    <n v="47871"/>
    <n v="2"/>
    <n v="2.4164383561643836"/>
  </r>
  <r>
    <s v="E1157"/>
    <s v="David"/>
    <x v="8"/>
    <x v="2"/>
    <s v="Financial Analyst"/>
    <s v="Male"/>
    <n v="26"/>
    <s v="2017-12-26"/>
    <m/>
    <s v="Active"/>
    <n v="62601"/>
    <n v="4"/>
    <n v="8.5917808219178085"/>
  </r>
  <r>
    <s v="E1158"/>
    <s v="Noah"/>
    <x v="7"/>
    <x v="3"/>
    <s v="Support Team Lead"/>
    <s v="Male"/>
    <n v="42"/>
    <s v="2017-09-10"/>
    <m/>
    <s v="Active"/>
    <n v="44118"/>
    <n v="3"/>
    <n v="8.8849315068493144"/>
  </r>
  <r>
    <s v="E1159"/>
    <s v="Erik"/>
    <x v="0"/>
    <x v="2"/>
    <s v="Financial Analyst"/>
    <s v="Male"/>
    <n v="44"/>
    <s v="2021-09-09"/>
    <m/>
    <s v="Active"/>
    <n v="60085"/>
    <n v="3"/>
    <n v="4.8849315068493153"/>
  </r>
  <r>
    <s v="E1160"/>
    <s v="Anna"/>
    <x v="19"/>
    <x v="6"/>
    <s v="Operations Manager"/>
    <s v="Female"/>
    <n v="26"/>
    <s v="2023-03-25"/>
    <m/>
    <s v="Active"/>
    <n v="81076"/>
    <n v="4"/>
    <n v="3.3452054794520549"/>
  </r>
  <r>
    <s v="E1161"/>
    <s v="Leon"/>
    <x v="7"/>
    <x v="2"/>
    <s v="Finance Manager"/>
    <s v="Male"/>
    <n v="24"/>
    <s v="2021-01-16"/>
    <s v="2024-10-11"/>
    <s v="Terminated"/>
    <n v="80084"/>
    <n v="3"/>
    <n v="5.5315068493150683"/>
  </r>
  <r>
    <s v="E1162"/>
    <s v="Jan"/>
    <x v="17"/>
    <x v="1"/>
    <s v="Account Executive"/>
    <s v="Male"/>
    <n v="28"/>
    <s v="2025-02-03"/>
    <m/>
    <s v="Active"/>
    <n v="53381"/>
    <n v="3"/>
    <n v="1.4794520547945205"/>
  </r>
  <r>
    <s v="E1163"/>
    <s v="Anna"/>
    <x v="11"/>
    <x v="3"/>
    <s v="Support Team Lead"/>
    <s v="Female"/>
    <n v="50"/>
    <s v="2021-11-16"/>
    <s v="2025-05-17"/>
    <s v="Terminated"/>
    <n v="45600"/>
    <n v="3"/>
    <n v="4.6986301369863011"/>
  </r>
  <r>
    <s v="E1164"/>
    <s v="Tim"/>
    <x v="13"/>
    <x v="6"/>
    <s v="Operations Manager"/>
    <s v="Male"/>
    <n v="60"/>
    <s v="2016-08-02"/>
    <m/>
    <s v="Active"/>
    <n v="72079"/>
    <n v="3"/>
    <n v="9.9917808219178088"/>
  </r>
  <r>
    <s v="E1165"/>
    <s v="Jonas"/>
    <x v="0"/>
    <x v="3"/>
    <s v="Support Agent"/>
    <s v="Male"/>
    <n v="43"/>
    <s v="2016-11-29"/>
    <s v="2024-06-08"/>
    <s v="Terminated"/>
    <n v="35317"/>
    <n v="5"/>
    <n v="9.6657534246575345"/>
  </r>
  <r>
    <s v="E1166"/>
    <s v="Noah"/>
    <x v="6"/>
    <x v="0"/>
    <s v="Marketing Manager"/>
    <s v="Male"/>
    <n v="27"/>
    <s v="2019-06-22"/>
    <s v="2023-10-11"/>
    <s v="Terminated"/>
    <n v="82542"/>
    <n v="4"/>
    <n v="7.1041095890410961"/>
  </r>
  <r>
    <s v="E1167"/>
    <s v="Hannah"/>
    <x v="9"/>
    <x v="1"/>
    <s v="Sales Manager"/>
    <s v="Female"/>
    <n v="49"/>
    <s v="2021-09-13"/>
    <m/>
    <s v="Active"/>
    <n v="75298"/>
    <n v="3"/>
    <n v="4.8739726027397259"/>
  </r>
  <r>
    <s v="E1168"/>
    <s v="Sophie"/>
    <x v="3"/>
    <x v="6"/>
    <s v="Operations Manager"/>
    <s v="Female"/>
    <n v="34"/>
    <s v="2018-07-16"/>
    <m/>
    <s v="Active"/>
    <n v="73538"/>
    <n v="2"/>
    <n v="8.0383561643835613"/>
  </r>
  <r>
    <s v="E1169"/>
    <s v="Lea"/>
    <x v="15"/>
    <x v="6"/>
    <s v="Operations Analyst"/>
    <s v="Female"/>
    <n v="43"/>
    <s v="2025-10-29"/>
    <s v="2025-12-31"/>
    <s v="Terminated"/>
    <n v="56785"/>
    <n v="3"/>
    <n v="0.74520547945205484"/>
  </r>
  <r>
    <s v="E1170"/>
    <s v="Laura"/>
    <x v="14"/>
    <x v="6"/>
    <s v="Operations Analyst"/>
    <s v="Female"/>
    <n v="50"/>
    <s v="2016-06-27"/>
    <m/>
    <s v="Active"/>
    <n v="52968"/>
    <n v="4"/>
    <n v="10.09041095890411"/>
  </r>
  <r>
    <s v="E1171"/>
    <s v="Emma"/>
    <x v="14"/>
    <x v="5"/>
    <s v="Engineering Manager"/>
    <s v="Female"/>
    <n v="50"/>
    <s v="2018-08-16"/>
    <s v="2021-05-21"/>
    <s v="Terminated"/>
    <n v="94070"/>
    <n v="5"/>
    <n v="7.9534246575342467"/>
  </r>
  <r>
    <s v="E1172"/>
    <s v="Finn"/>
    <x v="4"/>
    <x v="5"/>
    <s v="Engineering Manager"/>
    <s v="Male"/>
    <n v="58"/>
    <s v="2020-12-09"/>
    <m/>
    <s v="Active"/>
    <n v="93616"/>
    <n v="4"/>
    <n v="5.6356164383561644"/>
  </r>
  <r>
    <s v="E1173"/>
    <s v="Lukas"/>
    <x v="4"/>
    <x v="6"/>
    <s v="Operations Analyst"/>
    <s v="Male"/>
    <n v="38"/>
    <s v="2016-08-01"/>
    <m/>
    <s v="Active"/>
    <n v="53081"/>
    <n v="4"/>
    <n v="9.9945205479452053"/>
  </r>
  <r>
    <s v="E1174"/>
    <s v="Lisa"/>
    <x v="9"/>
    <x v="6"/>
    <s v="Operations Analyst"/>
    <s v="Female"/>
    <n v="40"/>
    <s v="2016-12-09"/>
    <m/>
    <s v="Active"/>
    <n v="51469"/>
    <n v="3"/>
    <n v="9.6383561643835609"/>
  </r>
  <r>
    <s v="E1175"/>
    <s v="Sofia"/>
    <x v="13"/>
    <x v="1"/>
    <s v="Sales Rep"/>
    <s v="Female"/>
    <n v="50"/>
    <s v="2025-12-02"/>
    <m/>
    <s v="Active"/>
    <n v="39436"/>
    <n v="3"/>
    <n v="0.65205479452054793"/>
  </r>
  <r>
    <s v="E1176"/>
    <s v="Jan"/>
    <x v="19"/>
    <x v="0"/>
    <s v="Content Strategist"/>
    <s v="Male"/>
    <n v="27"/>
    <s v="2020-03-15"/>
    <m/>
    <s v="Active"/>
    <n v="44461"/>
    <n v="3"/>
    <n v="6.3726027397260276"/>
  </r>
  <r>
    <s v="E1177"/>
    <s v="Sofia"/>
    <x v="3"/>
    <x v="6"/>
    <s v="Operations Analyst"/>
    <s v="Female"/>
    <n v="30"/>
    <s v="2016-06-05"/>
    <m/>
    <s v="Active"/>
    <n v="54740"/>
    <n v="4"/>
    <n v="10.150684931506849"/>
  </r>
  <r>
    <s v="E1178"/>
    <s v="Mia"/>
    <x v="10"/>
    <x v="4"/>
    <s v="HR Manager"/>
    <s v="Female"/>
    <n v="22"/>
    <s v="2016-11-20"/>
    <m/>
    <s v="Active"/>
    <n v="71193"/>
    <n v="3"/>
    <n v="9.6904109589041099"/>
  </r>
  <r>
    <s v="E1179"/>
    <s v="Lea"/>
    <x v="14"/>
    <x v="2"/>
    <s v="Accountant"/>
    <s v="Female"/>
    <n v="29"/>
    <s v="2024-09-14"/>
    <m/>
    <s v="Active"/>
    <n v="50893"/>
    <n v="3"/>
    <n v="1.8684931506849316"/>
  </r>
  <r>
    <s v="E1180"/>
    <s v="Sophie"/>
    <x v="13"/>
    <x v="3"/>
    <s v="Support Team Lead"/>
    <s v="Female"/>
    <n v="26"/>
    <s v="2017-03-30"/>
    <m/>
    <s v="Active"/>
    <n v="52776"/>
    <n v="4"/>
    <n v="9.3342465753424655"/>
  </r>
  <r>
    <s v="E1181"/>
    <s v="Lisa"/>
    <x v="17"/>
    <x v="5"/>
    <s v="QA Engineer"/>
    <s v="Female"/>
    <n v="22"/>
    <s v="2022-11-23"/>
    <m/>
    <s v="Active"/>
    <n v="52941"/>
    <n v="4"/>
    <n v="3.6794520547945204"/>
  </r>
  <r>
    <s v="E1182"/>
    <s v="Hannah"/>
    <x v="12"/>
    <x v="2"/>
    <s v="Accountant"/>
    <s v="Female"/>
    <n v="26"/>
    <s v="2021-11-24"/>
    <s v="2024-10-28"/>
    <s v="Terminated"/>
    <n v="55316"/>
    <n v="4"/>
    <n v="4.6767123287671231"/>
  </r>
  <r>
    <s v="E1183"/>
    <s v="Simon"/>
    <x v="10"/>
    <x v="1"/>
    <s v="Sales Manager"/>
    <s v="Male"/>
    <n v="46"/>
    <s v="2020-03-09"/>
    <m/>
    <s v="Active"/>
    <n v="75266"/>
    <n v="3"/>
    <n v="6.3890410958904109"/>
  </r>
  <r>
    <s v="E1184"/>
    <s v="Julia"/>
    <x v="11"/>
    <x v="3"/>
    <s v="Support Agent"/>
    <s v="Female"/>
    <n v="59"/>
    <s v="2024-03-30"/>
    <m/>
    <s v="Active"/>
    <n v="35185"/>
    <n v="2"/>
    <n v="2.3287671232876712"/>
  </r>
  <r>
    <s v="E1185"/>
    <s v="Simon"/>
    <x v="8"/>
    <x v="6"/>
    <s v="Operations Manager"/>
    <s v="Male"/>
    <n v="52"/>
    <s v="2023-01-31"/>
    <m/>
    <s v="Active"/>
    <n v="73209"/>
    <n v="2"/>
    <n v="3.4904109589041097"/>
  </r>
  <r>
    <s v="E1186"/>
    <s v="Max"/>
    <x v="18"/>
    <x v="0"/>
    <s v="Marketing Specialist"/>
    <s v="Male"/>
    <n v="34"/>
    <s v="2025-12-07"/>
    <m/>
    <s v="Active"/>
    <n v="47170"/>
    <n v="5"/>
    <n v="0.63835616438356169"/>
  </r>
  <r>
    <s v="E1187"/>
    <s v="Simon"/>
    <x v="15"/>
    <x v="4"/>
    <s v="Recruiter"/>
    <s v="Male"/>
    <n v="24"/>
    <s v="2024-06-12"/>
    <m/>
    <s v="Active"/>
    <n v="49687"/>
    <n v="3"/>
    <n v="2.1260273972602741"/>
  </r>
  <r>
    <s v="E1188"/>
    <s v="Sofia"/>
    <x v="3"/>
    <x v="5"/>
    <s v="Software Engineer"/>
    <s v="Female"/>
    <n v="45"/>
    <s v="2020-11-24"/>
    <m/>
    <s v="Active"/>
    <n v="69204"/>
    <n v="5"/>
    <n v="5.6767123287671231"/>
  </r>
  <r>
    <s v="E1189"/>
    <s v="Felix"/>
    <x v="8"/>
    <x v="4"/>
    <s v="HR Manager"/>
    <s v="Male"/>
    <n v="53"/>
    <s v="2020-02-13"/>
    <s v="2023-03-11"/>
    <s v="Terminated"/>
    <n v="68353"/>
    <n v="4"/>
    <n v="6.4575342465753423"/>
  </r>
  <r>
    <s v="E1190"/>
    <s v="Sarah"/>
    <x v="14"/>
    <x v="6"/>
    <s v="Operations Analyst"/>
    <s v="Female"/>
    <n v="56"/>
    <s v="2019-04-18"/>
    <m/>
    <s v="Active"/>
    <n v="48680"/>
    <n v="2"/>
    <n v="7.2821917808219174"/>
  </r>
  <r>
    <s v="E1191"/>
    <s v="Jonas"/>
    <x v="2"/>
    <x v="2"/>
    <s v="Finance Manager"/>
    <s v="Male"/>
    <n v="49"/>
    <s v="2017-11-13"/>
    <m/>
    <s v="Active"/>
    <n v="82759"/>
    <n v="3"/>
    <n v="8.7095890410958905"/>
  </r>
  <r>
    <s v="E1192"/>
    <s v="Tom"/>
    <x v="13"/>
    <x v="5"/>
    <s v="Engineering Manager"/>
    <s v="Male"/>
    <n v="25"/>
    <s v="2016-11-03"/>
    <m/>
    <s v="Active"/>
    <n v="94952"/>
    <n v="3"/>
    <n v="9.7369863013698623"/>
  </r>
  <r>
    <s v="E1193"/>
    <s v="Anna"/>
    <x v="17"/>
    <x v="6"/>
    <s v="Operations Manager"/>
    <s v="Female"/>
    <n v="24"/>
    <s v="2017-06-01"/>
    <m/>
    <s v="Active"/>
    <n v="74866"/>
    <n v="4"/>
    <n v="9.161643835616438"/>
  </r>
  <r>
    <s v="E1194"/>
    <s v="Felix"/>
    <x v="6"/>
    <x v="2"/>
    <s v="Financial Analyst"/>
    <s v="Male"/>
    <n v="60"/>
    <s v="2017-09-20"/>
    <m/>
    <s v="Active"/>
    <n v="61077"/>
    <n v="3"/>
    <n v="8.8575342465753426"/>
  </r>
  <r>
    <s v="E1195"/>
    <s v="Clara"/>
    <x v="17"/>
    <x v="2"/>
    <s v="Accountant"/>
    <s v="Female"/>
    <n v="47"/>
    <s v="2019-07-11"/>
    <m/>
    <s v="Active"/>
    <n v="51089"/>
    <n v="5"/>
    <n v="7.0520547945205481"/>
  </r>
  <r>
    <s v="E1196"/>
    <s v="Lisa"/>
    <x v="8"/>
    <x v="4"/>
    <s v="HR Manager"/>
    <s v="Female"/>
    <n v="46"/>
    <s v="2022-04-19"/>
    <m/>
    <s v="Active"/>
    <n v="71288"/>
    <n v="4"/>
    <n v="4.2767123287671236"/>
  </r>
  <r>
    <s v="E1197"/>
    <s v="David"/>
    <x v="14"/>
    <x v="5"/>
    <s v="Engineering Manager"/>
    <s v="Male"/>
    <n v="53"/>
    <s v="2018-03-30"/>
    <m/>
    <s v="Active"/>
    <n v="91223"/>
    <n v="5"/>
    <n v="8.3342465753424655"/>
  </r>
  <r>
    <s v="E1198"/>
    <s v="Lukas"/>
    <x v="2"/>
    <x v="1"/>
    <s v="Sales Manager"/>
    <s v="Male"/>
    <n v="42"/>
    <s v="2023-06-28"/>
    <m/>
    <s v="Active"/>
    <n v="76063"/>
    <n v="4"/>
    <n v="3.0849315068493151"/>
  </r>
  <r>
    <s v="E1199"/>
    <s v="Finn"/>
    <x v="18"/>
    <x v="6"/>
    <s v="Operations Analyst"/>
    <s v="Male"/>
    <n v="33"/>
    <s v="2024-11-24"/>
    <m/>
    <s v="Active"/>
    <n v="55335"/>
    <n v="3"/>
    <n v="1.6739726027397259"/>
  </r>
  <r>
    <s v="E1200"/>
    <s v="Mia"/>
    <x v="17"/>
    <x v="0"/>
    <s v="Content Strategist"/>
    <s v="Female"/>
    <n v="23"/>
    <s v="2020-01-18"/>
    <s v="2026-07-19"/>
    <s v="Terminated"/>
    <n v="50044"/>
    <n v="3"/>
    <n v="6.528767123287670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1">
  <location ref="D1:E9" firstHeaderRow="1" firstDataRow="1" firstDataCol="1"/>
  <pivotFields count="13">
    <pivotField showAll="0"/>
    <pivotField showAll="0"/>
    <pivotField showAll="0">
      <items count="21">
        <item x="19"/>
        <item x="11"/>
        <item x="7"/>
        <item x="5"/>
        <item x="0"/>
        <item x="13"/>
        <item x="3"/>
        <item x="14"/>
        <item x="8"/>
        <item x="1"/>
        <item x="10"/>
        <item x="6"/>
        <item x="18"/>
        <item x="16"/>
        <item x="12"/>
        <item x="9"/>
        <item x="4"/>
        <item x="17"/>
        <item x="2"/>
        <item x="15"/>
        <item t="default"/>
      </items>
    </pivotField>
    <pivotField axis="axisRow" showAll="0" sortType="ascending">
      <items count="8">
        <item x="3"/>
        <item x="5"/>
        <item x="2"/>
        <item x="4"/>
        <item x="0"/>
        <item x="6"/>
        <item x="1"/>
        <item t="default"/>
      </items>
    </pivotField>
    <pivotField showAll="0"/>
    <pivotField showAll="0"/>
    <pivotField showAll="0"/>
    <pivotField showAll="0"/>
    <pivotField showAll="0"/>
    <pivotField showAll="0"/>
    <pivotField dataField="1" showAll="0"/>
    <pivotField showAll="0"/>
    <pivotField showAll="0"/>
  </pivotFields>
  <rowFields count="1">
    <field x="3"/>
  </rowFields>
  <rowItems count="8">
    <i>
      <x/>
    </i>
    <i>
      <x v="1"/>
    </i>
    <i>
      <x v="2"/>
    </i>
    <i>
      <x v="3"/>
    </i>
    <i>
      <x v="4"/>
    </i>
    <i>
      <x v="5"/>
    </i>
    <i>
      <x v="6"/>
    </i>
    <i t="grand">
      <x/>
    </i>
  </rowItems>
  <colItems count="1">
    <i/>
  </colItems>
  <dataFields count="1">
    <dataField name="Average of AnnualSalary" fld="10" subtotal="average" baseField="3" baseItem="0"/>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Department" sourceName="Department">
  <pivotTables>
    <pivotTable tabId="2" name="PivotTable1"/>
  </pivotTables>
  <data>
    <tabular pivotCacheId="1">
      <items count="7">
        <i x="3" s="1"/>
        <i x="5" s="1"/>
        <i x="2" s="1"/>
        <i x="4" s="1"/>
        <i x="0" s="1"/>
        <i x="6"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Department" cache="Slicer_Department" caption="Department" rowHeight="241300"/>
</slicers>
</file>

<file path=xl/tables/table1.xml><?xml version="1.0" encoding="utf-8"?>
<table xmlns="http://schemas.openxmlformats.org/spreadsheetml/2006/main" id="1" name="Table1" displayName="Table1" ref="A1:M201" totalsRowShown="0" headerRowDxfId="13" dataDxfId="12">
  <autoFilter ref="A1:M201"/>
  <tableColumns count="13">
    <tableColumn id="1" name="EmployeeID" dataDxfId="11"/>
    <tableColumn id="2" name="FirstName" dataDxfId="10"/>
    <tableColumn id="3" name="LastName" dataDxfId="9"/>
    <tableColumn id="4" name="Department" dataDxfId="8"/>
    <tableColumn id="5" name="JobTitle" dataDxfId="7"/>
    <tableColumn id="6" name="Gender" dataDxfId="6"/>
    <tableColumn id="7" name="Age" dataDxfId="5"/>
    <tableColumn id="8" name="HireDate" dataDxfId="4"/>
    <tableColumn id="9" name="TerminationDate" dataDxfId="3"/>
    <tableColumn id="10" name="EmploymentStatus" dataDxfId="2"/>
    <tableColumn id="11" name="AnnualSalary" dataDxfId="1"/>
    <tableColumn id="12" name="PerformanceRating" dataDxfId="0"/>
    <tableColumn id="13" name="TenureYears">
      <calculatedColumnFormula>(TODAY()-H2)/365</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01"/>
  <sheetViews>
    <sheetView workbookViewId="0">
      <pane ySplit="1" topLeftCell="A2" activePane="bottomLeft" state="frozen"/>
      <selection pane="bottomLeft" activeCell="E12" sqref="E12"/>
    </sheetView>
  </sheetViews>
  <sheetFormatPr defaultRowHeight="15" x14ac:dyDescent="0.25"/>
  <cols>
    <col min="1" max="1" width="17.7109375" bestFit="1" customWidth="1"/>
    <col min="2" max="2" width="15.85546875" bestFit="1" customWidth="1"/>
    <col min="3" max="3" width="15.5703125" bestFit="1" customWidth="1"/>
    <col min="4" max="4" width="17.42578125" bestFit="1" customWidth="1"/>
    <col min="5" max="5" width="18.7109375" bestFit="1" customWidth="1"/>
    <col min="6" max="6" width="10.85546875" customWidth="1"/>
    <col min="7" max="7" width="9.42578125" bestFit="1" customWidth="1"/>
    <col min="8" max="8" width="14.5703125" bestFit="1" customWidth="1"/>
    <col min="9" max="9" width="22.7109375" bestFit="1" customWidth="1"/>
    <col min="10" max="10" width="24.5703125" bestFit="1" customWidth="1"/>
    <col min="11" max="11" width="18.7109375" bestFit="1" customWidth="1"/>
    <col min="12" max="12" width="25.42578125" bestFit="1" customWidth="1"/>
    <col min="13" max="13" width="19" bestFit="1" customWidth="1"/>
  </cols>
  <sheetData>
    <row r="1" spans="1:13" x14ac:dyDescent="0.25">
      <c r="A1" s="1" t="s">
        <v>0</v>
      </c>
      <c r="B1" s="1" t="s">
        <v>1</v>
      </c>
      <c r="C1" s="1" t="s">
        <v>2</v>
      </c>
      <c r="D1" s="1" t="s">
        <v>3</v>
      </c>
      <c r="E1" s="1" t="s">
        <v>4</v>
      </c>
      <c r="F1" s="1" t="s">
        <v>5</v>
      </c>
      <c r="G1" s="1" t="s">
        <v>6</v>
      </c>
      <c r="H1" s="1" t="s">
        <v>7</v>
      </c>
      <c r="I1" s="1" t="s">
        <v>8</v>
      </c>
      <c r="J1" s="1" t="s">
        <v>9</v>
      </c>
      <c r="K1" s="1" t="s">
        <v>10</v>
      </c>
      <c r="L1" s="1" t="s">
        <v>11</v>
      </c>
      <c r="M1" s="1" t="s">
        <v>526</v>
      </c>
    </row>
    <row r="2" spans="1:13" x14ac:dyDescent="0.25">
      <c r="A2" s="2" t="s">
        <v>12</v>
      </c>
      <c r="B2" s="2" t="s">
        <v>13</v>
      </c>
      <c r="C2" s="2" t="s">
        <v>14</v>
      </c>
      <c r="D2" s="2" t="s">
        <v>15</v>
      </c>
      <c r="E2" s="2" t="s">
        <v>16</v>
      </c>
      <c r="F2" s="2" t="s">
        <v>17</v>
      </c>
      <c r="G2" s="2">
        <v>30</v>
      </c>
      <c r="H2" s="2" t="s">
        <v>18</v>
      </c>
      <c r="I2" s="2"/>
      <c r="J2" s="2" t="s">
        <v>19</v>
      </c>
      <c r="K2" s="2">
        <v>50935</v>
      </c>
      <c r="L2" s="2">
        <v>2</v>
      </c>
      <c r="M2">
        <f ca="1">(TODAY()-H2)/365</f>
        <v>2.3452054794520549</v>
      </c>
    </row>
    <row r="3" spans="1:13" x14ac:dyDescent="0.25">
      <c r="A3" s="2" t="s">
        <v>20</v>
      </c>
      <c r="B3" s="2" t="s">
        <v>21</v>
      </c>
      <c r="C3" s="2" t="s">
        <v>22</v>
      </c>
      <c r="D3" s="2" t="s">
        <v>23</v>
      </c>
      <c r="E3" s="2" t="s">
        <v>24</v>
      </c>
      <c r="F3" s="2" t="s">
        <v>25</v>
      </c>
      <c r="G3" s="2">
        <v>36</v>
      </c>
      <c r="H3" s="2" t="s">
        <v>26</v>
      </c>
      <c r="I3" s="2" t="s">
        <v>27</v>
      </c>
      <c r="J3" s="2" t="s">
        <v>28</v>
      </c>
      <c r="K3" s="2">
        <v>48195</v>
      </c>
      <c r="L3" s="2">
        <v>3</v>
      </c>
      <c r="M3">
        <f t="shared" ref="M3:M66" ca="1" si="0">(TODAY()-H3)/365</f>
        <v>4.9397260273972599</v>
      </c>
    </row>
    <row r="4" spans="1:13" x14ac:dyDescent="0.25">
      <c r="A4" s="2" t="s">
        <v>29</v>
      </c>
      <c r="B4" s="2" t="s">
        <v>30</v>
      </c>
      <c r="C4" s="2" t="s">
        <v>31</v>
      </c>
      <c r="D4" s="2" t="s">
        <v>32</v>
      </c>
      <c r="E4" s="2" t="s">
        <v>33</v>
      </c>
      <c r="F4" s="2" t="s">
        <v>25</v>
      </c>
      <c r="G4" s="2">
        <v>22</v>
      </c>
      <c r="H4" s="2" t="s">
        <v>34</v>
      </c>
      <c r="I4" s="2"/>
      <c r="J4" s="2" t="s">
        <v>19</v>
      </c>
      <c r="K4" s="2">
        <v>53924</v>
      </c>
      <c r="L4" s="2">
        <v>3</v>
      </c>
      <c r="M4">
        <f t="shared" ca="1" si="0"/>
        <v>2.0931506849315067</v>
      </c>
    </row>
    <row r="5" spans="1:13" x14ac:dyDescent="0.25">
      <c r="A5" s="2" t="s">
        <v>35</v>
      </c>
      <c r="B5" s="2" t="s">
        <v>36</v>
      </c>
      <c r="C5" s="2" t="s">
        <v>37</v>
      </c>
      <c r="D5" s="2" t="s">
        <v>23</v>
      </c>
      <c r="E5" s="2" t="s">
        <v>24</v>
      </c>
      <c r="F5" s="2" t="s">
        <v>17</v>
      </c>
      <c r="G5" s="2">
        <v>46</v>
      </c>
      <c r="H5" s="2" t="s">
        <v>38</v>
      </c>
      <c r="I5" s="2"/>
      <c r="J5" s="2" t="s">
        <v>19</v>
      </c>
      <c r="K5" s="2">
        <v>44635</v>
      </c>
      <c r="L5" s="2">
        <v>4</v>
      </c>
      <c r="M5">
        <f t="shared" ca="1" si="0"/>
        <v>9.5232876712328771</v>
      </c>
    </row>
    <row r="6" spans="1:13" x14ac:dyDescent="0.25">
      <c r="A6" s="2" t="s">
        <v>39</v>
      </c>
      <c r="B6" s="2" t="s">
        <v>40</v>
      </c>
      <c r="C6" s="2" t="s">
        <v>31</v>
      </c>
      <c r="D6" s="2" t="s">
        <v>32</v>
      </c>
      <c r="E6" s="2" t="s">
        <v>41</v>
      </c>
      <c r="F6" s="2" t="s">
        <v>17</v>
      </c>
      <c r="G6" s="2">
        <v>46</v>
      </c>
      <c r="H6" s="2" t="s">
        <v>42</v>
      </c>
      <c r="I6" s="2" t="s">
        <v>43</v>
      </c>
      <c r="J6" s="2" t="s">
        <v>28</v>
      </c>
      <c r="K6" s="2">
        <v>65299</v>
      </c>
      <c r="L6" s="2">
        <v>4</v>
      </c>
      <c r="M6">
        <f t="shared" ca="1" si="0"/>
        <v>9.7260273972602747</v>
      </c>
    </row>
    <row r="7" spans="1:13" x14ac:dyDescent="0.25">
      <c r="A7" s="2" t="s">
        <v>44</v>
      </c>
      <c r="B7" s="2" t="s">
        <v>45</v>
      </c>
      <c r="C7" s="2" t="s">
        <v>46</v>
      </c>
      <c r="D7" s="2" t="s">
        <v>47</v>
      </c>
      <c r="E7" s="2" t="s">
        <v>48</v>
      </c>
      <c r="F7" s="2" t="s">
        <v>25</v>
      </c>
      <c r="G7" s="2">
        <v>24</v>
      </c>
      <c r="H7" s="2" t="s">
        <v>49</v>
      </c>
      <c r="I7" s="2"/>
      <c r="J7" s="2" t="s">
        <v>19</v>
      </c>
      <c r="K7" s="2">
        <v>37741</v>
      </c>
      <c r="L7" s="2">
        <v>5</v>
      </c>
      <c r="M7">
        <f t="shared" ca="1" si="0"/>
        <v>3.1890410958904107</v>
      </c>
    </row>
    <row r="8" spans="1:13" x14ac:dyDescent="0.25">
      <c r="A8" s="2" t="s">
        <v>50</v>
      </c>
      <c r="B8" s="2" t="s">
        <v>51</v>
      </c>
      <c r="C8" s="2" t="s">
        <v>52</v>
      </c>
      <c r="D8" s="2" t="s">
        <v>53</v>
      </c>
      <c r="E8" s="2" t="s">
        <v>54</v>
      </c>
      <c r="F8" s="2" t="s">
        <v>17</v>
      </c>
      <c r="G8" s="2">
        <v>51</v>
      </c>
      <c r="H8" s="2" t="s">
        <v>55</v>
      </c>
      <c r="I8" s="2"/>
      <c r="J8" s="2" t="s">
        <v>19</v>
      </c>
      <c r="K8" s="2">
        <v>47664</v>
      </c>
      <c r="L8" s="2">
        <v>3</v>
      </c>
      <c r="M8">
        <f t="shared" ca="1" si="0"/>
        <v>3.4767123287671233</v>
      </c>
    </row>
    <row r="9" spans="1:13" x14ac:dyDescent="0.25">
      <c r="A9" s="2" t="s">
        <v>56</v>
      </c>
      <c r="B9" s="2" t="s">
        <v>57</v>
      </c>
      <c r="C9" s="2" t="s">
        <v>14</v>
      </c>
      <c r="D9" s="2" t="s">
        <v>47</v>
      </c>
      <c r="E9" s="2" t="s">
        <v>48</v>
      </c>
      <c r="F9" s="2" t="s">
        <v>17</v>
      </c>
      <c r="G9" s="2">
        <v>60</v>
      </c>
      <c r="H9" s="2" t="s">
        <v>58</v>
      </c>
      <c r="I9" s="2"/>
      <c r="J9" s="2" t="s">
        <v>19</v>
      </c>
      <c r="K9" s="2">
        <v>41751</v>
      </c>
      <c r="L9" s="2">
        <v>4</v>
      </c>
      <c r="M9">
        <f t="shared" ca="1" si="0"/>
        <v>3.484931506849315</v>
      </c>
    </row>
    <row r="10" spans="1:13" x14ac:dyDescent="0.25">
      <c r="A10" s="2" t="s">
        <v>59</v>
      </c>
      <c r="B10" s="2" t="s">
        <v>60</v>
      </c>
      <c r="C10" s="2" t="s">
        <v>61</v>
      </c>
      <c r="D10" s="2" t="s">
        <v>62</v>
      </c>
      <c r="E10" s="2" t="s">
        <v>63</v>
      </c>
      <c r="F10" s="2" t="s">
        <v>17</v>
      </c>
      <c r="G10" s="2">
        <v>57</v>
      </c>
      <c r="H10" s="2" t="s">
        <v>64</v>
      </c>
      <c r="I10" s="2"/>
      <c r="J10" s="2" t="s">
        <v>19</v>
      </c>
      <c r="K10" s="2">
        <v>89916</v>
      </c>
      <c r="L10" s="2">
        <v>3</v>
      </c>
      <c r="M10">
        <f t="shared" ca="1" si="0"/>
        <v>8.1452054794520556</v>
      </c>
    </row>
    <row r="11" spans="1:13" x14ac:dyDescent="0.25">
      <c r="A11" s="2" t="s">
        <v>65</v>
      </c>
      <c r="B11" s="2" t="s">
        <v>66</v>
      </c>
      <c r="C11" s="2" t="s">
        <v>37</v>
      </c>
      <c r="D11" s="2" t="s">
        <v>53</v>
      </c>
      <c r="E11" s="2" t="s">
        <v>54</v>
      </c>
      <c r="F11" s="2" t="s">
        <v>17</v>
      </c>
      <c r="G11" s="2">
        <v>26</v>
      </c>
      <c r="H11" s="2" t="s">
        <v>67</v>
      </c>
      <c r="I11" s="2" t="s">
        <v>68</v>
      </c>
      <c r="J11" s="2" t="s">
        <v>28</v>
      </c>
      <c r="K11" s="2">
        <v>50155</v>
      </c>
      <c r="L11" s="2">
        <v>3</v>
      </c>
      <c r="M11">
        <f t="shared" ca="1" si="0"/>
        <v>8.2410958904109588</v>
      </c>
    </row>
    <row r="12" spans="1:13" x14ac:dyDescent="0.25">
      <c r="A12" s="2" t="s">
        <v>69</v>
      </c>
      <c r="B12" s="2" t="s">
        <v>70</v>
      </c>
      <c r="C12" s="2" t="s">
        <v>31</v>
      </c>
      <c r="D12" s="2" t="s">
        <v>15</v>
      </c>
      <c r="E12" s="2" t="s">
        <v>71</v>
      </c>
      <c r="F12" s="2" t="s">
        <v>25</v>
      </c>
      <c r="G12" s="2">
        <v>30</v>
      </c>
      <c r="H12" s="2" t="s">
        <v>72</v>
      </c>
      <c r="I12" s="2" t="s">
        <v>73</v>
      </c>
      <c r="J12" s="2" t="s">
        <v>28</v>
      </c>
      <c r="K12" s="2">
        <v>48304</v>
      </c>
      <c r="L12" s="2">
        <v>4</v>
      </c>
      <c r="M12">
        <f t="shared" ca="1" si="0"/>
        <v>7.8410958904109593</v>
      </c>
    </row>
    <row r="13" spans="1:13" x14ac:dyDescent="0.25">
      <c r="A13" s="2" t="s">
        <v>74</v>
      </c>
      <c r="B13" s="2" t="s">
        <v>75</v>
      </c>
      <c r="C13" s="2" t="s">
        <v>76</v>
      </c>
      <c r="D13" s="2" t="s">
        <v>53</v>
      </c>
      <c r="E13" s="2" t="s">
        <v>54</v>
      </c>
      <c r="F13" s="2" t="s">
        <v>25</v>
      </c>
      <c r="G13" s="2">
        <v>36</v>
      </c>
      <c r="H13" s="2" t="s">
        <v>77</v>
      </c>
      <c r="I13" s="2" t="s">
        <v>78</v>
      </c>
      <c r="J13" s="2" t="s">
        <v>28</v>
      </c>
      <c r="K13" s="2">
        <v>46489</v>
      </c>
      <c r="L13" s="2">
        <v>4</v>
      </c>
      <c r="M13">
        <f t="shared" ca="1" si="0"/>
        <v>9.0575342465753419</v>
      </c>
    </row>
    <row r="14" spans="1:13" x14ac:dyDescent="0.25">
      <c r="A14" s="2" t="s">
        <v>79</v>
      </c>
      <c r="B14" s="2" t="s">
        <v>80</v>
      </c>
      <c r="C14" s="2" t="s">
        <v>81</v>
      </c>
      <c r="D14" s="2" t="s">
        <v>82</v>
      </c>
      <c r="E14" s="2" t="s">
        <v>83</v>
      </c>
      <c r="F14" s="2" t="s">
        <v>17</v>
      </c>
      <c r="G14" s="2">
        <v>60</v>
      </c>
      <c r="H14" s="2" t="s">
        <v>84</v>
      </c>
      <c r="I14" s="2"/>
      <c r="J14" s="2" t="s">
        <v>19</v>
      </c>
      <c r="K14" s="2">
        <v>77252</v>
      </c>
      <c r="L14" s="2">
        <v>4</v>
      </c>
      <c r="M14">
        <f t="shared" ca="1" si="0"/>
        <v>9.8958904109589039</v>
      </c>
    </row>
    <row r="15" spans="1:13" x14ac:dyDescent="0.25">
      <c r="A15" s="2" t="s">
        <v>85</v>
      </c>
      <c r="B15" s="2" t="s">
        <v>86</v>
      </c>
      <c r="C15" s="2" t="s">
        <v>14</v>
      </c>
      <c r="D15" s="2" t="s">
        <v>32</v>
      </c>
      <c r="E15" s="2" t="s">
        <v>41</v>
      </c>
      <c r="F15" s="2" t="s">
        <v>25</v>
      </c>
      <c r="G15" s="2">
        <v>29</v>
      </c>
      <c r="H15" s="2" t="s">
        <v>87</v>
      </c>
      <c r="I15" s="2" t="s">
        <v>88</v>
      </c>
      <c r="J15" s="2" t="s">
        <v>28</v>
      </c>
      <c r="K15" s="2">
        <v>65501</v>
      </c>
      <c r="L15" s="2">
        <v>3</v>
      </c>
      <c r="M15">
        <f t="shared" ca="1" si="0"/>
        <v>2.9589041095890409</v>
      </c>
    </row>
    <row r="16" spans="1:13" x14ac:dyDescent="0.25">
      <c r="A16" s="2" t="s">
        <v>89</v>
      </c>
      <c r="B16" s="2" t="s">
        <v>70</v>
      </c>
      <c r="C16" s="2" t="s">
        <v>81</v>
      </c>
      <c r="D16" s="2" t="s">
        <v>53</v>
      </c>
      <c r="E16" s="2" t="s">
        <v>90</v>
      </c>
      <c r="F16" s="2" t="s">
        <v>25</v>
      </c>
      <c r="G16" s="2">
        <v>38</v>
      </c>
      <c r="H16" s="2" t="s">
        <v>91</v>
      </c>
      <c r="I16" s="2"/>
      <c r="J16" s="2" t="s">
        <v>19</v>
      </c>
      <c r="K16" s="2">
        <v>45317</v>
      </c>
      <c r="L16" s="2">
        <v>5</v>
      </c>
      <c r="M16">
        <f t="shared" ca="1" si="0"/>
        <v>4.9917808219178079</v>
      </c>
    </row>
    <row r="17" spans="1:13" x14ac:dyDescent="0.25">
      <c r="A17" s="2" t="s">
        <v>92</v>
      </c>
      <c r="B17" s="2" t="s">
        <v>93</v>
      </c>
      <c r="C17" s="2" t="s">
        <v>94</v>
      </c>
      <c r="D17" s="2" t="s">
        <v>32</v>
      </c>
      <c r="E17" s="2" t="s">
        <v>41</v>
      </c>
      <c r="F17" s="2" t="s">
        <v>25</v>
      </c>
      <c r="G17" s="2">
        <v>31</v>
      </c>
      <c r="H17" s="2" t="s">
        <v>95</v>
      </c>
      <c r="I17" s="2"/>
      <c r="J17" s="2" t="s">
        <v>19</v>
      </c>
      <c r="K17" s="2">
        <v>63837</v>
      </c>
      <c r="L17" s="2">
        <v>5</v>
      </c>
      <c r="M17">
        <f t="shared" ca="1" si="0"/>
        <v>6.4136986301369863</v>
      </c>
    </row>
    <row r="18" spans="1:13" x14ac:dyDescent="0.25">
      <c r="A18" s="2" t="s">
        <v>96</v>
      </c>
      <c r="B18" s="2" t="s">
        <v>97</v>
      </c>
      <c r="C18" s="2" t="s">
        <v>37</v>
      </c>
      <c r="D18" s="2" t="s">
        <v>53</v>
      </c>
      <c r="E18" s="2" t="s">
        <v>90</v>
      </c>
      <c r="F18" s="2" t="s">
        <v>17</v>
      </c>
      <c r="G18" s="2">
        <v>29</v>
      </c>
      <c r="H18" s="2" t="s">
        <v>98</v>
      </c>
      <c r="I18" s="2"/>
      <c r="J18" s="2" t="s">
        <v>19</v>
      </c>
      <c r="K18" s="2">
        <v>40923</v>
      </c>
      <c r="L18" s="2">
        <v>2</v>
      </c>
      <c r="M18">
        <f t="shared" ca="1" si="0"/>
        <v>6.536986301369863</v>
      </c>
    </row>
    <row r="19" spans="1:13" x14ac:dyDescent="0.25">
      <c r="A19" s="2" t="s">
        <v>99</v>
      </c>
      <c r="B19" s="2" t="s">
        <v>100</v>
      </c>
      <c r="C19" s="2" t="s">
        <v>101</v>
      </c>
      <c r="D19" s="2" t="s">
        <v>82</v>
      </c>
      <c r="E19" s="2" t="s">
        <v>102</v>
      </c>
      <c r="F19" s="2" t="s">
        <v>17</v>
      </c>
      <c r="G19" s="2">
        <v>56</v>
      </c>
      <c r="H19" s="2" t="s">
        <v>103</v>
      </c>
      <c r="I19" s="2"/>
      <c r="J19" s="2" t="s">
        <v>19</v>
      </c>
      <c r="K19" s="2">
        <v>49103</v>
      </c>
      <c r="L19" s="2">
        <v>4</v>
      </c>
      <c r="M19">
        <f t="shared" ca="1" si="0"/>
        <v>2.0164383561643837</v>
      </c>
    </row>
    <row r="20" spans="1:13" x14ac:dyDescent="0.25">
      <c r="A20" s="2" t="s">
        <v>104</v>
      </c>
      <c r="B20" s="2" t="s">
        <v>105</v>
      </c>
      <c r="C20" s="2" t="s">
        <v>94</v>
      </c>
      <c r="D20" s="2" t="s">
        <v>82</v>
      </c>
      <c r="E20" s="2" t="s">
        <v>83</v>
      </c>
      <c r="F20" s="2" t="s">
        <v>17</v>
      </c>
      <c r="G20" s="2">
        <v>35</v>
      </c>
      <c r="H20" s="2" t="s">
        <v>106</v>
      </c>
      <c r="I20" s="2"/>
      <c r="J20" s="2" t="s">
        <v>19</v>
      </c>
      <c r="K20" s="2">
        <v>76107</v>
      </c>
      <c r="L20" s="2">
        <v>3</v>
      </c>
      <c r="M20">
        <f t="shared" ca="1" si="0"/>
        <v>4.558904109589041</v>
      </c>
    </row>
    <row r="21" spans="1:13" x14ac:dyDescent="0.25">
      <c r="A21" s="2" t="s">
        <v>107</v>
      </c>
      <c r="B21" s="2" t="s">
        <v>108</v>
      </c>
      <c r="C21" s="2" t="s">
        <v>94</v>
      </c>
      <c r="D21" s="2" t="s">
        <v>53</v>
      </c>
      <c r="E21" s="2" t="s">
        <v>90</v>
      </c>
      <c r="F21" s="2" t="s">
        <v>25</v>
      </c>
      <c r="G21" s="2">
        <v>37</v>
      </c>
      <c r="H21" s="2" t="s">
        <v>109</v>
      </c>
      <c r="I21" s="2"/>
      <c r="J21" s="2" t="s">
        <v>19</v>
      </c>
      <c r="K21" s="2">
        <v>42539</v>
      </c>
      <c r="L21" s="2">
        <v>1</v>
      </c>
      <c r="M21">
        <f t="shared" ca="1" si="0"/>
        <v>8.087671232876712</v>
      </c>
    </row>
    <row r="22" spans="1:13" x14ac:dyDescent="0.25">
      <c r="A22" s="2" t="s">
        <v>110</v>
      </c>
      <c r="B22" s="2" t="s">
        <v>97</v>
      </c>
      <c r="C22" s="2" t="s">
        <v>111</v>
      </c>
      <c r="D22" s="2" t="s">
        <v>23</v>
      </c>
      <c r="E22" s="2" t="s">
        <v>24</v>
      </c>
      <c r="F22" s="2" t="s">
        <v>17</v>
      </c>
      <c r="G22" s="2">
        <v>25</v>
      </c>
      <c r="H22" s="2" t="s">
        <v>112</v>
      </c>
      <c r="I22" s="2"/>
      <c r="J22" s="2" t="s">
        <v>19</v>
      </c>
      <c r="K22" s="2">
        <v>39514</v>
      </c>
      <c r="L22" s="2">
        <v>5</v>
      </c>
      <c r="M22">
        <f t="shared" ca="1" si="0"/>
        <v>8.0410958904109595</v>
      </c>
    </row>
    <row r="23" spans="1:13" x14ac:dyDescent="0.25">
      <c r="A23" s="2" t="s">
        <v>113</v>
      </c>
      <c r="B23" s="2" t="s">
        <v>114</v>
      </c>
      <c r="C23" s="2" t="s">
        <v>111</v>
      </c>
      <c r="D23" s="2" t="s">
        <v>62</v>
      </c>
      <c r="E23" s="2" t="s">
        <v>63</v>
      </c>
      <c r="F23" s="2" t="s">
        <v>17</v>
      </c>
      <c r="G23" s="2">
        <v>53</v>
      </c>
      <c r="H23" s="2" t="s">
        <v>115</v>
      </c>
      <c r="I23" s="2" t="s">
        <v>116</v>
      </c>
      <c r="J23" s="2" t="s">
        <v>28</v>
      </c>
      <c r="K23" s="2">
        <v>98355</v>
      </c>
      <c r="L23" s="2">
        <v>4</v>
      </c>
      <c r="M23">
        <f t="shared" ca="1" si="0"/>
        <v>8.205479452054794</v>
      </c>
    </row>
    <row r="24" spans="1:13" x14ac:dyDescent="0.25">
      <c r="A24" s="2" t="s">
        <v>117</v>
      </c>
      <c r="B24" s="2" t="s">
        <v>66</v>
      </c>
      <c r="C24" s="2" t="s">
        <v>101</v>
      </c>
      <c r="D24" s="2" t="s">
        <v>82</v>
      </c>
      <c r="E24" s="2" t="s">
        <v>83</v>
      </c>
      <c r="F24" s="2" t="s">
        <v>17</v>
      </c>
      <c r="G24" s="2">
        <v>34</v>
      </c>
      <c r="H24" s="2" t="s">
        <v>118</v>
      </c>
      <c r="I24" s="2"/>
      <c r="J24" s="2" t="s">
        <v>19</v>
      </c>
      <c r="K24" s="2">
        <v>81796</v>
      </c>
      <c r="L24" s="2">
        <v>3</v>
      </c>
      <c r="M24">
        <f t="shared" ca="1" si="0"/>
        <v>9.5506849315068489</v>
      </c>
    </row>
    <row r="25" spans="1:13" x14ac:dyDescent="0.25">
      <c r="A25" s="2" t="s">
        <v>119</v>
      </c>
      <c r="B25" s="2" t="s">
        <v>70</v>
      </c>
      <c r="C25" s="2" t="s">
        <v>31</v>
      </c>
      <c r="D25" s="2" t="s">
        <v>82</v>
      </c>
      <c r="E25" s="2" t="s">
        <v>102</v>
      </c>
      <c r="F25" s="2" t="s">
        <v>25</v>
      </c>
      <c r="G25" s="2">
        <v>28</v>
      </c>
      <c r="H25" s="2" t="s">
        <v>120</v>
      </c>
      <c r="I25" s="2"/>
      <c r="J25" s="2" t="s">
        <v>19</v>
      </c>
      <c r="K25" s="2">
        <v>52559</v>
      </c>
      <c r="L25" s="2">
        <v>4</v>
      </c>
      <c r="M25">
        <f t="shared" ca="1" si="0"/>
        <v>9.9287671232876704</v>
      </c>
    </row>
    <row r="26" spans="1:13" x14ac:dyDescent="0.25">
      <c r="A26" s="2" t="s">
        <v>121</v>
      </c>
      <c r="B26" s="2" t="s">
        <v>36</v>
      </c>
      <c r="C26" s="2" t="s">
        <v>46</v>
      </c>
      <c r="D26" s="2" t="s">
        <v>15</v>
      </c>
      <c r="E26" s="2" t="s">
        <v>122</v>
      </c>
      <c r="F26" s="2" t="s">
        <v>17</v>
      </c>
      <c r="G26" s="2">
        <v>50</v>
      </c>
      <c r="H26" s="2" t="s">
        <v>123</v>
      </c>
      <c r="I26" s="2"/>
      <c r="J26" s="2" t="s">
        <v>19</v>
      </c>
      <c r="K26" s="2">
        <v>75006</v>
      </c>
      <c r="L26" s="2">
        <v>3</v>
      </c>
      <c r="M26">
        <f t="shared" ca="1" si="0"/>
        <v>9.0356164383561648</v>
      </c>
    </row>
    <row r="27" spans="1:13" x14ac:dyDescent="0.25">
      <c r="A27" s="2" t="s">
        <v>124</v>
      </c>
      <c r="B27" s="2" t="s">
        <v>51</v>
      </c>
      <c r="C27" s="2" t="s">
        <v>125</v>
      </c>
      <c r="D27" s="2" t="s">
        <v>53</v>
      </c>
      <c r="E27" s="2" t="s">
        <v>126</v>
      </c>
      <c r="F27" s="2" t="s">
        <v>17</v>
      </c>
      <c r="G27" s="2">
        <v>28</v>
      </c>
      <c r="H27" s="2" t="s">
        <v>127</v>
      </c>
      <c r="I27" s="2" t="s">
        <v>128</v>
      </c>
      <c r="J27" s="2" t="s">
        <v>28</v>
      </c>
      <c r="K27" s="2">
        <v>67241</v>
      </c>
      <c r="L27" s="2">
        <v>5</v>
      </c>
      <c r="M27">
        <f t="shared" ca="1" si="0"/>
        <v>10.04109589041096</v>
      </c>
    </row>
    <row r="28" spans="1:13" x14ac:dyDescent="0.25">
      <c r="A28" s="2" t="s">
        <v>129</v>
      </c>
      <c r="B28" s="2" t="s">
        <v>80</v>
      </c>
      <c r="C28" s="2" t="s">
        <v>130</v>
      </c>
      <c r="D28" s="2" t="s">
        <v>53</v>
      </c>
      <c r="E28" s="2" t="s">
        <v>54</v>
      </c>
      <c r="F28" s="2" t="s">
        <v>17</v>
      </c>
      <c r="G28" s="2">
        <v>35</v>
      </c>
      <c r="H28" s="2" t="s">
        <v>131</v>
      </c>
      <c r="I28" s="2"/>
      <c r="J28" s="2" t="s">
        <v>19</v>
      </c>
      <c r="K28" s="2">
        <v>45960</v>
      </c>
      <c r="L28" s="2">
        <v>3</v>
      </c>
      <c r="M28">
        <f t="shared" ca="1" si="0"/>
        <v>0.9068493150684932</v>
      </c>
    </row>
    <row r="29" spans="1:13" x14ac:dyDescent="0.25">
      <c r="A29" s="2" t="s">
        <v>132</v>
      </c>
      <c r="B29" s="2" t="s">
        <v>133</v>
      </c>
      <c r="C29" s="2" t="s">
        <v>14</v>
      </c>
      <c r="D29" s="2" t="s">
        <v>82</v>
      </c>
      <c r="E29" s="2" t="s">
        <v>83</v>
      </c>
      <c r="F29" s="2" t="s">
        <v>17</v>
      </c>
      <c r="G29" s="2">
        <v>40</v>
      </c>
      <c r="H29" s="2" t="s">
        <v>134</v>
      </c>
      <c r="I29" s="2" t="s">
        <v>135</v>
      </c>
      <c r="J29" s="2" t="s">
        <v>28</v>
      </c>
      <c r="K29" s="2">
        <v>73536</v>
      </c>
      <c r="L29" s="2">
        <v>3</v>
      </c>
      <c r="M29">
        <f t="shared" ca="1" si="0"/>
        <v>5.8630136986301373</v>
      </c>
    </row>
    <row r="30" spans="1:13" x14ac:dyDescent="0.25">
      <c r="A30" s="2" t="s">
        <v>136</v>
      </c>
      <c r="B30" s="2" t="s">
        <v>13</v>
      </c>
      <c r="C30" s="2" t="s">
        <v>76</v>
      </c>
      <c r="D30" s="2" t="s">
        <v>47</v>
      </c>
      <c r="E30" s="2" t="s">
        <v>48</v>
      </c>
      <c r="F30" s="2" t="s">
        <v>17</v>
      </c>
      <c r="G30" s="2">
        <v>42</v>
      </c>
      <c r="H30" s="2" t="s">
        <v>137</v>
      </c>
      <c r="I30" s="2"/>
      <c r="J30" s="2" t="s">
        <v>19</v>
      </c>
      <c r="K30" s="2">
        <v>42571</v>
      </c>
      <c r="L30" s="2">
        <v>3</v>
      </c>
      <c r="M30">
        <f t="shared" ca="1" si="0"/>
        <v>9.9671232876712335</v>
      </c>
    </row>
    <row r="31" spans="1:13" x14ac:dyDescent="0.25">
      <c r="A31" s="2" t="s">
        <v>138</v>
      </c>
      <c r="B31" s="2" t="s">
        <v>13</v>
      </c>
      <c r="C31" s="2" t="s">
        <v>94</v>
      </c>
      <c r="D31" s="2" t="s">
        <v>23</v>
      </c>
      <c r="E31" s="2" t="s">
        <v>24</v>
      </c>
      <c r="F31" s="2" t="s">
        <v>17</v>
      </c>
      <c r="G31" s="2">
        <v>26</v>
      </c>
      <c r="H31" s="2" t="s">
        <v>139</v>
      </c>
      <c r="I31" s="2"/>
      <c r="J31" s="2" t="s">
        <v>19</v>
      </c>
      <c r="K31" s="2">
        <v>42853</v>
      </c>
      <c r="L31" s="2">
        <v>3</v>
      </c>
      <c r="M31">
        <f t="shared" ca="1" si="0"/>
        <v>3.9315068493150687</v>
      </c>
    </row>
    <row r="32" spans="1:13" x14ac:dyDescent="0.25">
      <c r="A32" s="2" t="s">
        <v>140</v>
      </c>
      <c r="B32" s="2" t="s">
        <v>97</v>
      </c>
      <c r="C32" s="2" t="s">
        <v>141</v>
      </c>
      <c r="D32" s="2" t="s">
        <v>23</v>
      </c>
      <c r="E32" s="2" t="s">
        <v>142</v>
      </c>
      <c r="F32" s="2" t="s">
        <v>17</v>
      </c>
      <c r="G32" s="2">
        <v>27</v>
      </c>
      <c r="H32" s="2" t="s">
        <v>143</v>
      </c>
      <c r="I32" s="2" t="s">
        <v>144</v>
      </c>
      <c r="J32" s="2" t="s">
        <v>28</v>
      </c>
      <c r="K32" s="2">
        <v>79272</v>
      </c>
      <c r="L32" s="2">
        <v>3</v>
      </c>
      <c r="M32">
        <f t="shared" ca="1" si="0"/>
        <v>5.904109589041096</v>
      </c>
    </row>
    <row r="33" spans="1:13" x14ac:dyDescent="0.25">
      <c r="A33" s="2" t="s">
        <v>145</v>
      </c>
      <c r="B33" s="2" t="s">
        <v>30</v>
      </c>
      <c r="C33" s="2" t="s">
        <v>14</v>
      </c>
      <c r="D33" s="2" t="s">
        <v>53</v>
      </c>
      <c r="E33" s="2" t="s">
        <v>90</v>
      </c>
      <c r="F33" s="2" t="s">
        <v>25</v>
      </c>
      <c r="G33" s="2">
        <v>41</v>
      </c>
      <c r="H33" s="2" t="s">
        <v>146</v>
      </c>
      <c r="I33" s="2"/>
      <c r="J33" s="2" t="s">
        <v>19</v>
      </c>
      <c r="K33" s="2">
        <v>38188</v>
      </c>
      <c r="L33" s="2">
        <v>1</v>
      </c>
      <c r="M33">
        <f t="shared" ca="1" si="0"/>
        <v>5.4794520547945202</v>
      </c>
    </row>
    <row r="34" spans="1:13" x14ac:dyDescent="0.25">
      <c r="A34" s="2" t="s">
        <v>147</v>
      </c>
      <c r="B34" s="2" t="s">
        <v>100</v>
      </c>
      <c r="C34" s="2" t="s">
        <v>148</v>
      </c>
      <c r="D34" s="2" t="s">
        <v>15</v>
      </c>
      <c r="E34" s="2" t="s">
        <v>122</v>
      </c>
      <c r="F34" s="2" t="s">
        <v>17</v>
      </c>
      <c r="G34" s="2">
        <v>38</v>
      </c>
      <c r="H34" s="2" t="s">
        <v>149</v>
      </c>
      <c r="I34" s="2"/>
      <c r="J34" s="2" t="s">
        <v>19</v>
      </c>
      <c r="K34" s="2">
        <v>73127</v>
      </c>
      <c r="L34" s="2">
        <v>5</v>
      </c>
      <c r="M34">
        <f t="shared" ca="1" si="0"/>
        <v>9.1232876712328768</v>
      </c>
    </row>
    <row r="35" spans="1:13" x14ac:dyDescent="0.25">
      <c r="A35" s="2" t="s">
        <v>150</v>
      </c>
      <c r="B35" s="2" t="s">
        <v>151</v>
      </c>
      <c r="C35" s="2" t="s">
        <v>81</v>
      </c>
      <c r="D35" s="2" t="s">
        <v>53</v>
      </c>
      <c r="E35" s="2" t="s">
        <v>126</v>
      </c>
      <c r="F35" s="2" t="s">
        <v>25</v>
      </c>
      <c r="G35" s="2">
        <v>41</v>
      </c>
      <c r="H35" s="2" t="s">
        <v>152</v>
      </c>
      <c r="I35" s="2" t="s">
        <v>153</v>
      </c>
      <c r="J35" s="2" t="s">
        <v>28</v>
      </c>
      <c r="K35" s="2">
        <v>77942</v>
      </c>
      <c r="L35" s="2">
        <v>4</v>
      </c>
      <c r="M35">
        <f t="shared" ca="1" si="0"/>
        <v>3.7452054794520548</v>
      </c>
    </row>
    <row r="36" spans="1:13" x14ac:dyDescent="0.25">
      <c r="A36" s="2" t="s">
        <v>154</v>
      </c>
      <c r="B36" s="2" t="s">
        <v>75</v>
      </c>
      <c r="C36" s="2" t="s">
        <v>52</v>
      </c>
      <c r="D36" s="2" t="s">
        <v>15</v>
      </c>
      <c r="E36" s="2" t="s">
        <v>71</v>
      </c>
      <c r="F36" s="2" t="s">
        <v>25</v>
      </c>
      <c r="G36" s="2">
        <v>29</v>
      </c>
      <c r="H36" s="2" t="s">
        <v>155</v>
      </c>
      <c r="I36" s="2"/>
      <c r="J36" s="2" t="s">
        <v>19</v>
      </c>
      <c r="K36" s="2">
        <v>53064</v>
      </c>
      <c r="L36" s="2">
        <v>3</v>
      </c>
      <c r="M36">
        <f t="shared" ca="1" si="0"/>
        <v>0.62465753424657533</v>
      </c>
    </row>
    <row r="37" spans="1:13" x14ac:dyDescent="0.25">
      <c r="A37" s="2" t="s">
        <v>156</v>
      </c>
      <c r="B37" s="2" t="s">
        <v>45</v>
      </c>
      <c r="C37" s="2" t="s">
        <v>46</v>
      </c>
      <c r="D37" s="2" t="s">
        <v>47</v>
      </c>
      <c r="E37" s="2" t="s">
        <v>157</v>
      </c>
      <c r="F37" s="2" t="s">
        <v>25</v>
      </c>
      <c r="G37" s="2">
        <v>35</v>
      </c>
      <c r="H37" s="2" t="s">
        <v>158</v>
      </c>
      <c r="I37" s="2"/>
      <c r="J37" s="2" t="s">
        <v>19</v>
      </c>
      <c r="K37" s="2">
        <v>51280</v>
      </c>
      <c r="L37" s="2">
        <v>3</v>
      </c>
      <c r="M37">
        <f t="shared" ca="1" si="0"/>
        <v>2.8958904109589043</v>
      </c>
    </row>
    <row r="38" spans="1:13" x14ac:dyDescent="0.25">
      <c r="A38" s="2" t="s">
        <v>159</v>
      </c>
      <c r="B38" s="2" t="s">
        <v>100</v>
      </c>
      <c r="C38" s="2" t="s">
        <v>130</v>
      </c>
      <c r="D38" s="2" t="s">
        <v>82</v>
      </c>
      <c r="E38" s="2" t="s">
        <v>83</v>
      </c>
      <c r="F38" s="2" t="s">
        <v>17</v>
      </c>
      <c r="G38" s="2">
        <v>24</v>
      </c>
      <c r="H38" s="2" t="s">
        <v>160</v>
      </c>
      <c r="I38" s="2"/>
      <c r="J38" s="2" t="s">
        <v>19</v>
      </c>
      <c r="K38" s="2">
        <v>73143</v>
      </c>
      <c r="L38" s="2">
        <v>4</v>
      </c>
      <c r="M38">
        <f t="shared" ca="1" si="0"/>
        <v>10.56986301369863</v>
      </c>
    </row>
    <row r="39" spans="1:13" x14ac:dyDescent="0.25">
      <c r="A39" s="2" t="s">
        <v>161</v>
      </c>
      <c r="B39" s="2" t="s">
        <v>162</v>
      </c>
      <c r="C39" s="2" t="s">
        <v>31</v>
      </c>
      <c r="D39" s="2" t="s">
        <v>32</v>
      </c>
      <c r="E39" s="2" t="s">
        <v>163</v>
      </c>
      <c r="F39" s="2" t="s">
        <v>25</v>
      </c>
      <c r="G39" s="2">
        <v>49</v>
      </c>
      <c r="H39" s="2" t="s">
        <v>164</v>
      </c>
      <c r="I39" s="2"/>
      <c r="J39" s="2" t="s">
        <v>19</v>
      </c>
      <c r="K39" s="2">
        <v>78832</v>
      </c>
      <c r="L39" s="2">
        <v>2</v>
      </c>
      <c r="M39">
        <f t="shared" ca="1" si="0"/>
        <v>4.3150684931506849</v>
      </c>
    </row>
    <row r="40" spans="1:13" x14ac:dyDescent="0.25">
      <c r="A40" s="2" t="s">
        <v>165</v>
      </c>
      <c r="B40" s="2" t="s">
        <v>114</v>
      </c>
      <c r="C40" s="2" t="s">
        <v>166</v>
      </c>
      <c r="D40" s="2" t="s">
        <v>82</v>
      </c>
      <c r="E40" s="2" t="s">
        <v>83</v>
      </c>
      <c r="F40" s="2" t="s">
        <v>17</v>
      </c>
      <c r="G40" s="2">
        <v>59</v>
      </c>
      <c r="H40" s="2" t="s">
        <v>167</v>
      </c>
      <c r="I40" s="2"/>
      <c r="J40" s="2" t="s">
        <v>19</v>
      </c>
      <c r="K40" s="2">
        <v>78041</v>
      </c>
      <c r="L40" s="2">
        <v>2</v>
      </c>
      <c r="M40">
        <f t="shared" ca="1" si="0"/>
        <v>4.4082191780821915</v>
      </c>
    </row>
    <row r="41" spans="1:13" x14ac:dyDescent="0.25">
      <c r="A41" s="2" t="s">
        <v>168</v>
      </c>
      <c r="B41" s="2" t="s">
        <v>169</v>
      </c>
      <c r="C41" s="2" t="s">
        <v>166</v>
      </c>
      <c r="D41" s="2" t="s">
        <v>62</v>
      </c>
      <c r="E41" s="2" t="s">
        <v>170</v>
      </c>
      <c r="F41" s="2" t="s">
        <v>25</v>
      </c>
      <c r="G41" s="2">
        <v>37</v>
      </c>
      <c r="H41" s="2" t="s">
        <v>171</v>
      </c>
      <c r="I41" s="2"/>
      <c r="J41" s="2" t="s">
        <v>19</v>
      </c>
      <c r="K41" s="2">
        <v>67794</v>
      </c>
      <c r="L41" s="2">
        <v>4</v>
      </c>
      <c r="M41">
        <f t="shared" ca="1" si="0"/>
        <v>3.1260273972602741</v>
      </c>
    </row>
    <row r="42" spans="1:13" x14ac:dyDescent="0.25">
      <c r="A42" s="2" t="s">
        <v>172</v>
      </c>
      <c r="B42" s="2" t="s">
        <v>45</v>
      </c>
      <c r="C42" s="2" t="s">
        <v>173</v>
      </c>
      <c r="D42" s="2" t="s">
        <v>15</v>
      </c>
      <c r="E42" s="2" t="s">
        <v>16</v>
      </c>
      <c r="F42" s="2" t="s">
        <v>25</v>
      </c>
      <c r="G42" s="2">
        <v>33</v>
      </c>
      <c r="H42" s="2" t="s">
        <v>174</v>
      </c>
      <c r="I42" s="2"/>
      <c r="J42" s="2" t="s">
        <v>19</v>
      </c>
      <c r="K42" s="2">
        <v>42406</v>
      </c>
      <c r="L42" s="2">
        <v>3</v>
      </c>
      <c r="M42">
        <f t="shared" ca="1" si="0"/>
        <v>0.71780821917808224</v>
      </c>
    </row>
    <row r="43" spans="1:13" x14ac:dyDescent="0.25">
      <c r="A43" s="2" t="s">
        <v>175</v>
      </c>
      <c r="B43" s="2" t="s">
        <v>176</v>
      </c>
      <c r="C43" s="2" t="s">
        <v>130</v>
      </c>
      <c r="D43" s="2" t="s">
        <v>82</v>
      </c>
      <c r="E43" s="2" t="s">
        <v>102</v>
      </c>
      <c r="F43" s="2" t="s">
        <v>25</v>
      </c>
      <c r="G43" s="2">
        <v>39</v>
      </c>
      <c r="H43" s="2" t="s">
        <v>177</v>
      </c>
      <c r="I43" s="2"/>
      <c r="J43" s="2" t="s">
        <v>19</v>
      </c>
      <c r="K43" s="2">
        <v>53267</v>
      </c>
      <c r="L43" s="2">
        <v>5</v>
      </c>
      <c r="M43">
        <f t="shared" ca="1" si="0"/>
        <v>8.8219178082191778</v>
      </c>
    </row>
    <row r="44" spans="1:13" x14ac:dyDescent="0.25">
      <c r="A44" s="2" t="s">
        <v>178</v>
      </c>
      <c r="B44" s="2" t="s">
        <v>30</v>
      </c>
      <c r="C44" s="2" t="s">
        <v>46</v>
      </c>
      <c r="D44" s="2" t="s">
        <v>82</v>
      </c>
      <c r="E44" s="2" t="s">
        <v>83</v>
      </c>
      <c r="F44" s="2" t="s">
        <v>25</v>
      </c>
      <c r="G44" s="2">
        <v>44</v>
      </c>
      <c r="H44" s="2" t="s">
        <v>179</v>
      </c>
      <c r="I44" s="2"/>
      <c r="J44" s="2" t="s">
        <v>19</v>
      </c>
      <c r="K44" s="2">
        <v>74652</v>
      </c>
      <c r="L44" s="2">
        <v>1</v>
      </c>
      <c r="M44">
        <f t="shared" ca="1" si="0"/>
        <v>7.183561643835616</v>
      </c>
    </row>
    <row r="45" spans="1:13" x14ac:dyDescent="0.25">
      <c r="A45" s="2" t="s">
        <v>180</v>
      </c>
      <c r="B45" s="2" t="s">
        <v>133</v>
      </c>
      <c r="C45" s="2" t="s">
        <v>37</v>
      </c>
      <c r="D45" s="2" t="s">
        <v>62</v>
      </c>
      <c r="E45" s="2" t="s">
        <v>170</v>
      </c>
      <c r="F45" s="2" t="s">
        <v>17</v>
      </c>
      <c r="G45" s="2">
        <v>39</v>
      </c>
      <c r="H45" s="2" t="s">
        <v>181</v>
      </c>
      <c r="I45" s="2" t="s">
        <v>182</v>
      </c>
      <c r="J45" s="2" t="s">
        <v>28</v>
      </c>
      <c r="K45" s="2">
        <v>70785</v>
      </c>
      <c r="L45" s="2">
        <v>3</v>
      </c>
      <c r="M45">
        <f t="shared" ca="1" si="0"/>
        <v>6.6684931506849319</v>
      </c>
    </row>
    <row r="46" spans="1:13" x14ac:dyDescent="0.25">
      <c r="A46" s="2" t="s">
        <v>183</v>
      </c>
      <c r="B46" s="2" t="s">
        <v>100</v>
      </c>
      <c r="C46" s="2" t="s">
        <v>14</v>
      </c>
      <c r="D46" s="2" t="s">
        <v>15</v>
      </c>
      <c r="E46" s="2" t="s">
        <v>122</v>
      </c>
      <c r="F46" s="2" t="s">
        <v>17</v>
      </c>
      <c r="G46" s="2">
        <v>38</v>
      </c>
      <c r="H46" s="2" t="s">
        <v>184</v>
      </c>
      <c r="I46" s="2"/>
      <c r="J46" s="2" t="s">
        <v>19</v>
      </c>
      <c r="K46" s="2">
        <v>81774</v>
      </c>
      <c r="L46" s="2">
        <v>3</v>
      </c>
      <c r="M46">
        <f t="shared" ca="1" si="0"/>
        <v>10.180821917808219</v>
      </c>
    </row>
    <row r="47" spans="1:13" x14ac:dyDescent="0.25">
      <c r="A47" s="2" t="s">
        <v>185</v>
      </c>
      <c r="B47" s="2" t="s">
        <v>70</v>
      </c>
      <c r="C47" s="2" t="s">
        <v>141</v>
      </c>
      <c r="D47" s="2" t="s">
        <v>32</v>
      </c>
      <c r="E47" s="2" t="s">
        <v>41</v>
      </c>
      <c r="F47" s="2" t="s">
        <v>25</v>
      </c>
      <c r="G47" s="2">
        <v>46</v>
      </c>
      <c r="H47" s="2" t="s">
        <v>186</v>
      </c>
      <c r="I47" s="2"/>
      <c r="J47" s="2" t="s">
        <v>19</v>
      </c>
      <c r="K47" s="2">
        <v>59173</v>
      </c>
      <c r="L47" s="2">
        <v>2</v>
      </c>
      <c r="M47">
        <f t="shared" ca="1" si="0"/>
        <v>4.13972602739726</v>
      </c>
    </row>
    <row r="48" spans="1:13" x14ac:dyDescent="0.25">
      <c r="A48" s="2" t="s">
        <v>187</v>
      </c>
      <c r="B48" s="2" t="s">
        <v>21</v>
      </c>
      <c r="C48" s="2" t="s">
        <v>94</v>
      </c>
      <c r="D48" s="2" t="s">
        <v>82</v>
      </c>
      <c r="E48" s="2" t="s">
        <v>102</v>
      </c>
      <c r="F48" s="2" t="s">
        <v>25</v>
      </c>
      <c r="G48" s="2">
        <v>45</v>
      </c>
      <c r="H48" s="2" t="s">
        <v>188</v>
      </c>
      <c r="I48" s="2"/>
      <c r="J48" s="2" t="s">
        <v>19</v>
      </c>
      <c r="K48" s="2">
        <v>57882</v>
      </c>
      <c r="L48" s="2">
        <v>5</v>
      </c>
      <c r="M48">
        <f t="shared" ca="1" si="0"/>
        <v>5.7698630136986298</v>
      </c>
    </row>
    <row r="49" spans="1:13" x14ac:dyDescent="0.25">
      <c r="A49" s="2" t="s">
        <v>189</v>
      </c>
      <c r="B49" s="2" t="s">
        <v>190</v>
      </c>
      <c r="C49" s="2" t="s">
        <v>52</v>
      </c>
      <c r="D49" s="2" t="s">
        <v>47</v>
      </c>
      <c r="E49" s="2" t="s">
        <v>157</v>
      </c>
      <c r="F49" s="2" t="s">
        <v>25</v>
      </c>
      <c r="G49" s="2">
        <v>54</v>
      </c>
      <c r="H49" s="2" t="s">
        <v>191</v>
      </c>
      <c r="I49" s="2"/>
      <c r="J49" s="2" t="s">
        <v>19</v>
      </c>
      <c r="K49" s="2">
        <v>48344</v>
      </c>
      <c r="L49" s="2">
        <v>3</v>
      </c>
      <c r="M49">
        <f t="shared" ca="1" si="0"/>
        <v>7.13972602739726</v>
      </c>
    </row>
    <row r="50" spans="1:13" x14ac:dyDescent="0.25">
      <c r="A50" s="2" t="s">
        <v>192</v>
      </c>
      <c r="B50" s="2" t="s">
        <v>86</v>
      </c>
      <c r="C50" s="2" t="s">
        <v>173</v>
      </c>
      <c r="D50" s="2" t="s">
        <v>15</v>
      </c>
      <c r="E50" s="2" t="s">
        <v>71</v>
      </c>
      <c r="F50" s="2" t="s">
        <v>25</v>
      </c>
      <c r="G50" s="2">
        <v>46</v>
      </c>
      <c r="H50" s="2" t="s">
        <v>193</v>
      </c>
      <c r="I50" s="2"/>
      <c r="J50" s="2" t="s">
        <v>19</v>
      </c>
      <c r="K50" s="2">
        <v>54084</v>
      </c>
      <c r="L50" s="2">
        <v>4</v>
      </c>
      <c r="M50">
        <f t="shared" ca="1" si="0"/>
        <v>3.0082191780821916</v>
      </c>
    </row>
    <row r="51" spans="1:13" x14ac:dyDescent="0.25">
      <c r="A51" s="2" t="s">
        <v>194</v>
      </c>
      <c r="B51" s="2" t="s">
        <v>86</v>
      </c>
      <c r="C51" s="2" t="s">
        <v>22</v>
      </c>
      <c r="D51" s="2" t="s">
        <v>62</v>
      </c>
      <c r="E51" s="2" t="s">
        <v>195</v>
      </c>
      <c r="F51" s="2" t="s">
        <v>25</v>
      </c>
      <c r="G51" s="2">
        <v>35</v>
      </c>
      <c r="H51" s="2" t="s">
        <v>196</v>
      </c>
      <c r="I51" s="2" t="s">
        <v>197</v>
      </c>
      <c r="J51" s="2" t="s">
        <v>28</v>
      </c>
      <c r="K51" s="2">
        <v>56618</v>
      </c>
      <c r="L51" s="2">
        <v>3</v>
      </c>
      <c r="M51">
        <f t="shared" ca="1" si="0"/>
        <v>5.7863013698630139</v>
      </c>
    </row>
    <row r="52" spans="1:13" x14ac:dyDescent="0.25">
      <c r="A52" s="2" t="s">
        <v>198</v>
      </c>
      <c r="B52" s="2" t="s">
        <v>114</v>
      </c>
      <c r="C52" s="2" t="s">
        <v>101</v>
      </c>
      <c r="D52" s="2" t="s">
        <v>82</v>
      </c>
      <c r="E52" s="2" t="s">
        <v>102</v>
      </c>
      <c r="F52" s="2" t="s">
        <v>17</v>
      </c>
      <c r="G52" s="2">
        <v>27</v>
      </c>
      <c r="H52" s="2" t="s">
        <v>199</v>
      </c>
      <c r="I52" s="2" t="s">
        <v>200</v>
      </c>
      <c r="J52" s="2" t="s">
        <v>28</v>
      </c>
      <c r="K52" s="2">
        <v>57145</v>
      </c>
      <c r="L52" s="2">
        <v>3</v>
      </c>
      <c r="M52">
        <f t="shared" ca="1" si="0"/>
        <v>7.4246575342465757</v>
      </c>
    </row>
    <row r="53" spans="1:13" x14ac:dyDescent="0.25">
      <c r="A53" s="2" t="s">
        <v>201</v>
      </c>
      <c r="B53" s="2" t="s">
        <v>57</v>
      </c>
      <c r="C53" s="2" t="s">
        <v>202</v>
      </c>
      <c r="D53" s="2" t="s">
        <v>15</v>
      </c>
      <c r="E53" s="2" t="s">
        <v>16</v>
      </c>
      <c r="F53" s="2" t="s">
        <v>17</v>
      </c>
      <c r="G53" s="2">
        <v>31</v>
      </c>
      <c r="H53" s="2" t="s">
        <v>203</v>
      </c>
      <c r="I53" s="2"/>
      <c r="J53" s="2" t="s">
        <v>19</v>
      </c>
      <c r="K53" s="2">
        <v>46011</v>
      </c>
      <c r="L53" s="2">
        <v>5</v>
      </c>
      <c r="M53">
        <f t="shared" ca="1" si="0"/>
        <v>10.334246575342465</v>
      </c>
    </row>
    <row r="54" spans="1:13" x14ac:dyDescent="0.25">
      <c r="A54" s="2" t="s">
        <v>204</v>
      </c>
      <c r="B54" s="2" t="s">
        <v>60</v>
      </c>
      <c r="C54" s="2" t="s">
        <v>130</v>
      </c>
      <c r="D54" s="2" t="s">
        <v>47</v>
      </c>
      <c r="E54" s="2" t="s">
        <v>48</v>
      </c>
      <c r="F54" s="2" t="s">
        <v>17</v>
      </c>
      <c r="G54" s="2">
        <v>46</v>
      </c>
      <c r="H54" s="2" t="s">
        <v>205</v>
      </c>
      <c r="I54" s="2"/>
      <c r="J54" s="2" t="s">
        <v>19</v>
      </c>
      <c r="K54" s="2">
        <v>36997</v>
      </c>
      <c r="L54" s="2">
        <v>3</v>
      </c>
      <c r="M54">
        <f t="shared" ca="1" si="0"/>
        <v>5.0630136986301366</v>
      </c>
    </row>
    <row r="55" spans="1:13" x14ac:dyDescent="0.25">
      <c r="A55" s="2" t="s">
        <v>206</v>
      </c>
      <c r="B55" s="2" t="s">
        <v>207</v>
      </c>
      <c r="C55" s="2" t="s">
        <v>52</v>
      </c>
      <c r="D55" s="2" t="s">
        <v>82</v>
      </c>
      <c r="E55" s="2" t="s">
        <v>83</v>
      </c>
      <c r="F55" s="2" t="s">
        <v>17</v>
      </c>
      <c r="G55" s="2">
        <v>36</v>
      </c>
      <c r="H55" s="2" t="s">
        <v>208</v>
      </c>
      <c r="I55" s="2" t="s">
        <v>209</v>
      </c>
      <c r="J55" s="2" t="s">
        <v>28</v>
      </c>
      <c r="K55" s="2">
        <v>71822</v>
      </c>
      <c r="L55" s="2">
        <v>4</v>
      </c>
      <c r="M55">
        <f t="shared" ca="1" si="0"/>
        <v>8.6356164383561644</v>
      </c>
    </row>
    <row r="56" spans="1:13" x14ac:dyDescent="0.25">
      <c r="A56" s="2" t="s">
        <v>210</v>
      </c>
      <c r="B56" s="2" t="s">
        <v>60</v>
      </c>
      <c r="C56" s="2" t="s">
        <v>173</v>
      </c>
      <c r="D56" s="2" t="s">
        <v>82</v>
      </c>
      <c r="E56" s="2" t="s">
        <v>83</v>
      </c>
      <c r="F56" s="2" t="s">
        <v>17</v>
      </c>
      <c r="G56" s="2">
        <v>55</v>
      </c>
      <c r="H56" s="2" t="s">
        <v>211</v>
      </c>
      <c r="I56" s="2" t="s">
        <v>212</v>
      </c>
      <c r="J56" s="2" t="s">
        <v>28</v>
      </c>
      <c r="K56" s="2">
        <v>78251</v>
      </c>
      <c r="L56" s="2">
        <v>4</v>
      </c>
      <c r="M56">
        <f t="shared" ca="1" si="0"/>
        <v>4.3369863013698629</v>
      </c>
    </row>
    <row r="57" spans="1:13" x14ac:dyDescent="0.25">
      <c r="A57" s="2" t="s">
        <v>213</v>
      </c>
      <c r="B57" s="2" t="s">
        <v>93</v>
      </c>
      <c r="C57" s="2" t="s">
        <v>148</v>
      </c>
      <c r="D57" s="2" t="s">
        <v>53</v>
      </c>
      <c r="E57" s="2" t="s">
        <v>90</v>
      </c>
      <c r="F57" s="2" t="s">
        <v>25</v>
      </c>
      <c r="G57" s="2">
        <v>52</v>
      </c>
      <c r="H57" s="2" t="s">
        <v>214</v>
      </c>
      <c r="I57" s="2"/>
      <c r="J57" s="2" t="s">
        <v>19</v>
      </c>
      <c r="K57" s="2">
        <v>41050</v>
      </c>
      <c r="L57" s="2">
        <v>4</v>
      </c>
      <c r="M57">
        <f t="shared" ca="1" si="0"/>
        <v>5.558904109589041</v>
      </c>
    </row>
    <row r="58" spans="1:13" x14ac:dyDescent="0.25">
      <c r="A58" s="2" t="s">
        <v>215</v>
      </c>
      <c r="B58" s="2" t="s">
        <v>176</v>
      </c>
      <c r="C58" s="2" t="s">
        <v>94</v>
      </c>
      <c r="D58" s="2" t="s">
        <v>53</v>
      </c>
      <c r="E58" s="2" t="s">
        <v>126</v>
      </c>
      <c r="F58" s="2" t="s">
        <v>25</v>
      </c>
      <c r="G58" s="2">
        <v>37</v>
      </c>
      <c r="H58" s="2" t="s">
        <v>216</v>
      </c>
      <c r="I58" s="2"/>
      <c r="J58" s="2" t="s">
        <v>19</v>
      </c>
      <c r="K58" s="2">
        <v>68269</v>
      </c>
      <c r="L58" s="2">
        <v>4</v>
      </c>
      <c r="M58">
        <f t="shared" ca="1" si="0"/>
        <v>7.5287671232876709</v>
      </c>
    </row>
    <row r="59" spans="1:13" x14ac:dyDescent="0.25">
      <c r="A59" s="2" t="s">
        <v>217</v>
      </c>
      <c r="B59" s="2" t="s">
        <v>105</v>
      </c>
      <c r="C59" s="2" t="s">
        <v>37</v>
      </c>
      <c r="D59" s="2" t="s">
        <v>62</v>
      </c>
      <c r="E59" s="2" t="s">
        <v>63</v>
      </c>
      <c r="F59" s="2" t="s">
        <v>17</v>
      </c>
      <c r="G59" s="2">
        <v>27</v>
      </c>
      <c r="H59" s="2" t="s">
        <v>77</v>
      </c>
      <c r="I59" s="2"/>
      <c r="J59" s="2" t="s">
        <v>19</v>
      </c>
      <c r="K59" s="2">
        <v>92788</v>
      </c>
      <c r="L59" s="2">
        <v>3</v>
      </c>
      <c r="M59">
        <f t="shared" ca="1" si="0"/>
        <v>9.0575342465753419</v>
      </c>
    </row>
    <row r="60" spans="1:13" x14ac:dyDescent="0.25">
      <c r="A60" s="2" t="s">
        <v>218</v>
      </c>
      <c r="B60" s="2" t="s">
        <v>40</v>
      </c>
      <c r="C60" s="2" t="s">
        <v>46</v>
      </c>
      <c r="D60" s="2" t="s">
        <v>23</v>
      </c>
      <c r="E60" s="2" t="s">
        <v>219</v>
      </c>
      <c r="F60" s="2" t="s">
        <v>17</v>
      </c>
      <c r="G60" s="2">
        <v>48</v>
      </c>
      <c r="H60" s="2" t="s">
        <v>220</v>
      </c>
      <c r="I60" s="2" t="s">
        <v>221</v>
      </c>
      <c r="J60" s="2" t="s">
        <v>28</v>
      </c>
      <c r="K60" s="2">
        <v>58812</v>
      </c>
      <c r="L60" s="2">
        <v>2</v>
      </c>
      <c r="M60">
        <f t="shared" ca="1" si="0"/>
        <v>6.8958904109589039</v>
      </c>
    </row>
    <row r="61" spans="1:13" x14ac:dyDescent="0.25">
      <c r="A61" s="2" t="s">
        <v>222</v>
      </c>
      <c r="B61" s="2" t="s">
        <v>70</v>
      </c>
      <c r="C61" s="2" t="s">
        <v>76</v>
      </c>
      <c r="D61" s="2" t="s">
        <v>47</v>
      </c>
      <c r="E61" s="2" t="s">
        <v>48</v>
      </c>
      <c r="F61" s="2" t="s">
        <v>25</v>
      </c>
      <c r="G61" s="2">
        <v>58</v>
      </c>
      <c r="H61" s="2" t="s">
        <v>223</v>
      </c>
      <c r="I61" s="2"/>
      <c r="J61" s="2" t="s">
        <v>19</v>
      </c>
      <c r="K61" s="2">
        <v>33096</v>
      </c>
      <c r="L61" s="2">
        <v>5</v>
      </c>
      <c r="M61">
        <f t="shared" ca="1" si="0"/>
        <v>6.3397260273972602</v>
      </c>
    </row>
    <row r="62" spans="1:13" x14ac:dyDescent="0.25">
      <c r="A62" s="2" t="s">
        <v>224</v>
      </c>
      <c r="B62" s="2" t="s">
        <v>176</v>
      </c>
      <c r="C62" s="2" t="s">
        <v>61</v>
      </c>
      <c r="D62" s="2" t="s">
        <v>82</v>
      </c>
      <c r="E62" s="2" t="s">
        <v>83</v>
      </c>
      <c r="F62" s="2" t="s">
        <v>25</v>
      </c>
      <c r="G62" s="2">
        <v>56</v>
      </c>
      <c r="H62" s="2" t="s">
        <v>225</v>
      </c>
      <c r="I62" s="2" t="s">
        <v>226</v>
      </c>
      <c r="J62" s="2" t="s">
        <v>28</v>
      </c>
      <c r="K62" s="2">
        <v>74613</v>
      </c>
      <c r="L62" s="2">
        <v>3</v>
      </c>
      <c r="M62">
        <f t="shared" ca="1" si="0"/>
        <v>2.2219178082191782</v>
      </c>
    </row>
    <row r="63" spans="1:13" x14ac:dyDescent="0.25">
      <c r="A63" s="2" t="s">
        <v>227</v>
      </c>
      <c r="B63" s="2" t="s">
        <v>70</v>
      </c>
      <c r="C63" s="2" t="s">
        <v>101</v>
      </c>
      <c r="D63" s="2" t="s">
        <v>23</v>
      </c>
      <c r="E63" s="2" t="s">
        <v>219</v>
      </c>
      <c r="F63" s="2" t="s">
        <v>25</v>
      </c>
      <c r="G63" s="2">
        <v>43</v>
      </c>
      <c r="H63" s="2" t="s">
        <v>228</v>
      </c>
      <c r="I63" s="2"/>
      <c r="J63" s="2" t="s">
        <v>19</v>
      </c>
      <c r="K63" s="2">
        <v>54704</v>
      </c>
      <c r="L63" s="2">
        <v>4</v>
      </c>
      <c r="M63">
        <f t="shared" ca="1" si="0"/>
        <v>3.1041095890410957</v>
      </c>
    </row>
    <row r="64" spans="1:13" x14ac:dyDescent="0.25">
      <c r="A64" s="2" t="s">
        <v>229</v>
      </c>
      <c r="B64" s="2" t="s">
        <v>97</v>
      </c>
      <c r="C64" s="2" t="s">
        <v>148</v>
      </c>
      <c r="D64" s="2" t="s">
        <v>23</v>
      </c>
      <c r="E64" s="2" t="s">
        <v>219</v>
      </c>
      <c r="F64" s="2" t="s">
        <v>17</v>
      </c>
      <c r="G64" s="2">
        <v>59</v>
      </c>
      <c r="H64" s="2" t="s">
        <v>230</v>
      </c>
      <c r="I64" s="2"/>
      <c r="J64" s="2" t="s">
        <v>19</v>
      </c>
      <c r="K64" s="2">
        <v>53375</v>
      </c>
      <c r="L64" s="2">
        <v>4</v>
      </c>
      <c r="M64">
        <f t="shared" ca="1" si="0"/>
        <v>4.2767123287671236</v>
      </c>
    </row>
    <row r="65" spans="1:13" x14ac:dyDescent="0.25">
      <c r="A65" s="2" t="s">
        <v>231</v>
      </c>
      <c r="B65" s="2" t="s">
        <v>51</v>
      </c>
      <c r="C65" s="2" t="s">
        <v>31</v>
      </c>
      <c r="D65" s="2" t="s">
        <v>15</v>
      </c>
      <c r="E65" s="2" t="s">
        <v>16</v>
      </c>
      <c r="F65" s="2" t="s">
        <v>17</v>
      </c>
      <c r="G65" s="2">
        <v>38</v>
      </c>
      <c r="H65" s="2" t="s">
        <v>43</v>
      </c>
      <c r="I65" s="2"/>
      <c r="J65" s="2" t="s">
        <v>19</v>
      </c>
      <c r="K65" s="2">
        <v>45467</v>
      </c>
      <c r="L65" s="2">
        <v>3</v>
      </c>
      <c r="M65">
        <f t="shared" ca="1" si="0"/>
        <v>6.3561643835616435</v>
      </c>
    </row>
    <row r="66" spans="1:13" x14ac:dyDescent="0.25">
      <c r="A66" s="2" t="s">
        <v>232</v>
      </c>
      <c r="B66" s="2" t="s">
        <v>176</v>
      </c>
      <c r="C66" s="2" t="s">
        <v>61</v>
      </c>
      <c r="D66" s="2" t="s">
        <v>62</v>
      </c>
      <c r="E66" s="2" t="s">
        <v>195</v>
      </c>
      <c r="F66" s="2" t="s">
        <v>25</v>
      </c>
      <c r="G66" s="2">
        <v>38</v>
      </c>
      <c r="H66" s="2" t="s">
        <v>233</v>
      </c>
      <c r="I66" s="2"/>
      <c r="J66" s="2" t="s">
        <v>19</v>
      </c>
      <c r="K66" s="2">
        <v>56705</v>
      </c>
      <c r="L66" s="2">
        <v>1</v>
      </c>
      <c r="M66">
        <f t="shared" ca="1" si="0"/>
        <v>1.2410958904109588</v>
      </c>
    </row>
    <row r="67" spans="1:13" x14ac:dyDescent="0.25">
      <c r="A67" s="2" t="s">
        <v>234</v>
      </c>
      <c r="B67" s="2" t="s">
        <v>235</v>
      </c>
      <c r="C67" s="2" t="s">
        <v>111</v>
      </c>
      <c r="D67" s="2" t="s">
        <v>47</v>
      </c>
      <c r="E67" s="2" t="s">
        <v>48</v>
      </c>
      <c r="F67" s="2" t="s">
        <v>17</v>
      </c>
      <c r="G67" s="2">
        <v>24</v>
      </c>
      <c r="H67" s="2" t="s">
        <v>236</v>
      </c>
      <c r="I67" s="2"/>
      <c r="J67" s="2" t="s">
        <v>19</v>
      </c>
      <c r="K67" s="2">
        <v>37051</v>
      </c>
      <c r="L67" s="2">
        <v>3</v>
      </c>
      <c r="M67">
        <f t="shared" ref="M67:M130" ca="1" si="1">(TODAY()-H67)/365</f>
        <v>2.1452054794520548</v>
      </c>
    </row>
    <row r="68" spans="1:13" x14ac:dyDescent="0.25">
      <c r="A68" s="2" t="s">
        <v>237</v>
      </c>
      <c r="B68" s="2" t="s">
        <v>97</v>
      </c>
      <c r="C68" s="2" t="s">
        <v>173</v>
      </c>
      <c r="D68" s="2" t="s">
        <v>15</v>
      </c>
      <c r="E68" s="2" t="s">
        <v>16</v>
      </c>
      <c r="F68" s="2" t="s">
        <v>17</v>
      </c>
      <c r="G68" s="2">
        <v>52</v>
      </c>
      <c r="H68" s="2" t="s">
        <v>238</v>
      </c>
      <c r="I68" s="2"/>
      <c r="J68" s="2" t="s">
        <v>19</v>
      </c>
      <c r="K68" s="2">
        <v>51240</v>
      </c>
      <c r="L68" s="2">
        <v>5</v>
      </c>
      <c r="M68">
        <f t="shared" ca="1" si="1"/>
        <v>3.095890410958904</v>
      </c>
    </row>
    <row r="69" spans="1:13" x14ac:dyDescent="0.25">
      <c r="A69" s="2" t="s">
        <v>239</v>
      </c>
      <c r="B69" s="2" t="s">
        <v>240</v>
      </c>
      <c r="C69" s="2" t="s">
        <v>14</v>
      </c>
      <c r="D69" s="2" t="s">
        <v>82</v>
      </c>
      <c r="E69" s="2" t="s">
        <v>83</v>
      </c>
      <c r="F69" s="2" t="s">
        <v>25</v>
      </c>
      <c r="G69" s="2">
        <v>32</v>
      </c>
      <c r="H69" s="2" t="s">
        <v>241</v>
      </c>
      <c r="I69" s="2" t="s">
        <v>242</v>
      </c>
      <c r="J69" s="2" t="s">
        <v>28</v>
      </c>
      <c r="K69" s="2">
        <v>73683</v>
      </c>
      <c r="L69" s="2">
        <v>5</v>
      </c>
      <c r="M69">
        <f t="shared" ca="1" si="1"/>
        <v>3.8109589041095893</v>
      </c>
    </row>
    <row r="70" spans="1:13" x14ac:dyDescent="0.25">
      <c r="A70" s="2" t="s">
        <v>243</v>
      </c>
      <c r="B70" s="2" t="s">
        <v>97</v>
      </c>
      <c r="C70" s="2" t="s">
        <v>22</v>
      </c>
      <c r="D70" s="2" t="s">
        <v>62</v>
      </c>
      <c r="E70" s="2" t="s">
        <v>63</v>
      </c>
      <c r="F70" s="2" t="s">
        <v>17</v>
      </c>
      <c r="G70" s="2">
        <v>46</v>
      </c>
      <c r="H70" s="2" t="s">
        <v>244</v>
      </c>
      <c r="I70" s="2"/>
      <c r="J70" s="2" t="s">
        <v>19</v>
      </c>
      <c r="K70" s="2">
        <v>90245</v>
      </c>
      <c r="L70" s="2">
        <v>4</v>
      </c>
      <c r="M70">
        <f t="shared" ca="1" si="1"/>
        <v>6.1589041095890407</v>
      </c>
    </row>
    <row r="71" spans="1:13" x14ac:dyDescent="0.25">
      <c r="A71" s="2" t="s">
        <v>245</v>
      </c>
      <c r="B71" s="2" t="s">
        <v>100</v>
      </c>
      <c r="C71" s="2" t="s">
        <v>202</v>
      </c>
      <c r="D71" s="2" t="s">
        <v>82</v>
      </c>
      <c r="E71" s="2" t="s">
        <v>102</v>
      </c>
      <c r="F71" s="2" t="s">
        <v>17</v>
      </c>
      <c r="G71" s="2">
        <v>58</v>
      </c>
      <c r="H71" s="2" t="s">
        <v>246</v>
      </c>
      <c r="I71" s="2"/>
      <c r="J71" s="2" t="s">
        <v>19</v>
      </c>
      <c r="K71" s="2">
        <v>52688</v>
      </c>
      <c r="L71" s="2">
        <v>4</v>
      </c>
      <c r="M71">
        <f t="shared" ca="1" si="1"/>
        <v>1.8273972602739725</v>
      </c>
    </row>
    <row r="72" spans="1:13" x14ac:dyDescent="0.25">
      <c r="A72" s="2" t="s">
        <v>247</v>
      </c>
      <c r="B72" s="2" t="s">
        <v>248</v>
      </c>
      <c r="C72" s="2" t="s">
        <v>94</v>
      </c>
      <c r="D72" s="2" t="s">
        <v>47</v>
      </c>
      <c r="E72" s="2" t="s">
        <v>157</v>
      </c>
      <c r="F72" s="2" t="s">
        <v>25</v>
      </c>
      <c r="G72" s="2">
        <v>22</v>
      </c>
      <c r="H72" s="2" t="s">
        <v>249</v>
      </c>
      <c r="I72" s="2"/>
      <c r="J72" s="2" t="s">
        <v>19</v>
      </c>
      <c r="K72" s="2">
        <v>51031</v>
      </c>
      <c r="L72" s="2">
        <v>2</v>
      </c>
      <c r="M72">
        <f t="shared" ca="1" si="1"/>
        <v>1.0767123287671232</v>
      </c>
    </row>
    <row r="73" spans="1:13" x14ac:dyDescent="0.25">
      <c r="A73" s="2" t="s">
        <v>250</v>
      </c>
      <c r="B73" s="2" t="s">
        <v>190</v>
      </c>
      <c r="C73" s="2" t="s">
        <v>31</v>
      </c>
      <c r="D73" s="2" t="s">
        <v>47</v>
      </c>
      <c r="E73" s="2" t="s">
        <v>48</v>
      </c>
      <c r="F73" s="2" t="s">
        <v>25</v>
      </c>
      <c r="G73" s="2">
        <v>49</v>
      </c>
      <c r="H73" s="2" t="s">
        <v>251</v>
      </c>
      <c r="I73" s="2" t="s">
        <v>252</v>
      </c>
      <c r="J73" s="2" t="s">
        <v>28</v>
      </c>
      <c r="K73" s="2">
        <v>37425</v>
      </c>
      <c r="L73" s="2">
        <v>4</v>
      </c>
      <c r="M73">
        <f t="shared" ca="1" si="1"/>
        <v>8.632876712328768</v>
      </c>
    </row>
    <row r="74" spans="1:13" x14ac:dyDescent="0.25">
      <c r="A74" s="2" t="s">
        <v>253</v>
      </c>
      <c r="B74" s="2" t="s">
        <v>108</v>
      </c>
      <c r="C74" s="2" t="s">
        <v>130</v>
      </c>
      <c r="D74" s="2" t="s">
        <v>82</v>
      </c>
      <c r="E74" s="2" t="s">
        <v>83</v>
      </c>
      <c r="F74" s="2" t="s">
        <v>25</v>
      </c>
      <c r="G74" s="2">
        <v>42</v>
      </c>
      <c r="H74" s="2" t="s">
        <v>254</v>
      </c>
      <c r="I74" s="2"/>
      <c r="J74" s="2" t="s">
        <v>19</v>
      </c>
      <c r="K74" s="2">
        <v>72419</v>
      </c>
      <c r="L74" s="2">
        <v>3</v>
      </c>
      <c r="M74">
        <f t="shared" ca="1" si="1"/>
        <v>1.0520547945205478</v>
      </c>
    </row>
    <row r="75" spans="1:13" x14ac:dyDescent="0.25">
      <c r="A75" s="2" t="s">
        <v>255</v>
      </c>
      <c r="B75" s="2" t="s">
        <v>30</v>
      </c>
      <c r="C75" s="2" t="s">
        <v>31</v>
      </c>
      <c r="D75" s="2" t="s">
        <v>32</v>
      </c>
      <c r="E75" s="2" t="s">
        <v>163</v>
      </c>
      <c r="F75" s="2" t="s">
        <v>25</v>
      </c>
      <c r="G75" s="2">
        <v>46</v>
      </c>
      <c r="H75" s="2" t="s">
        <v>256</v>
      </c>
      <c r="I75" s="2"/>
      <c r="J75" s="2" t="s">
        <v>19</v>
      </c>
      <c r="K75" s="2">
        <v>85098</v>
      </c>
      <c r="L75" s="2">
        <v>5</v>
      </c>
      <c r="M75">
        <f t="shared" ca="1" si="1"/>
        <v>6.8356164383561646</v>
      </c>
    </row>
    <row r="76" spans="1:13" x14ac:dyDescent="0.25">
      <c r="A76" s="2" t="s">
        <v>257</v>
      </c>
      <c r="B76" s="2" t="s">
        <v>60</v>
      </c>
      <c r="C76" s="2" t="s">
        <v>46</v>
      </c>
      <c r="D76" s="2" t="s">
        <v>62</v>
      </c>
      <c r="E76" s="2" t="s">
        <v>195</v>
      </c>
      <c r="F76" s="2" t="s">
        <v>17</v>
      </c>
      <c r="G76" s="2">
        <v>43</v>
      </c>
      <c r="H76" s="2" t="s">
        <v>258</v>
      </c>
      <c r="I76" s="2" t="s">
        <v>259</v>
      </c>
      <c r="J76" s="2" t="s">
        <v>28</v>
      </c>
      <c r="K76" s="2">
        <v>58106</v>
      </c>
      <c r="L76" s="2">
        <v>1</v>
      </c>
      <c r="M76">
        <f t="shared" ca="1" si="1"/>
        <v>7.4712328767123291</v>
      </c>
    </row>
    <row r="77" spans="1:13" x14ac:dyDescent="0.25">
      <c r="A77" s="2" t="s">
        <v>260</v>
      </c>
      <c r="B77" s="2" t="s">
        <v>100</v>
      </c>
      <c r="C77" s="2" t="s">
        <v>111</v>
      </c>
      <c r="D77" s="2" t="s">
        <v>47</v>
      </c>
      <c r="E77" s="2" t="s">
        <v>157</v>
      </c>
      <c r="F77" s="2" t="s">
        <v>17</v>
      </c>
      <c r="G77" s="2">
        <v>53</v>
      </c>
      <c r="H77" s="2" t="s">
        <v>261</v>
      </c>
      <c r="I77" s="2"/>
      <c r="J77" s="2" t="s">
        <v>19</v>
      </c>
      <c r="K77" s="2">
        <v>50800</v>
      </c>
      <c r="L77" s="2">
        <v>4</v>
      </c>
      <c r="M77">
        <f t="shared" ca="1" si="1"/>
        <v>4.3780821917808215</v>
      </c>
    </row>
    <row r="78" spans="1:13" x14ac:dyDescent="0.25">
      <c r="A78" s="2" t="s">
        <v>262</v>
      </c>
      <c r="B78" s="2" t="s">
        <v>108</v>
      </c>
      <c r="C78" s="2" t="s">
        <v>22</v>
      </c>
      <c r="D78" s="2" t="s">
        <v>23</v>
      </c>
      <c r="E78" s="2" t="s">
        <v>219</v>
      </c>
      <c r="F78" s="2" t="s">
        <v>25</v>
      </c>
      <c r="G78" s="2">
        <v>36</v>
      </c>
      <c r="H78" s="2" t="s">
        <v>263</v>
      </c>
      <c r="I78" s="2"/>
      <c r="J78" s="2" t="s">
        <v>19</v>
      </c>
      <c r="K78" s="2">
        <v>57016</v>
      </c>
      <c r="L78" s="2">
        <v>4</v>
      </c>
      <c r="M78">
        <f t="shared" ca="1" si="1"/>
        <v>6.0712328767123287</v>
      </c>
    </row>
    <row r="79" spans="1:13" x14ac:dyDescent="0.25">
      <c r="A79" s="2" t="s">
        <v>264</v>
      </c>
      <c r="B79" s="2" t="s">
        <v>108</v>
      </c>
      <c r="C79" s="2" t="s">
        <v>148</v>
      </c>
      <c r="D79" s="2" t="s">
        <v>32</v>
      </c>
      <c r="E79" s="2" t="s">
        <v>33</v>
      </c>
      <c r="F79" s="2" t="s">
        <v>25</v>
      </c>
      <c r="G79" s="2">
        <v>49</v>
      </c>
      <c r="H79" s="2" t="s">
        <v>265</v>
      </c>
      <c r="I79" s="2" t="s">
        <v>266</v>
      </c>
      <c r="J79" s="2" t="s">
        <v>28</v>
      </c>
      <c r="K79" s="2">
        <v>52764</v>
      </c>
      <c r="L79" s="2">
        <v>4</v>
      </c>
      <c r="M79">
        <f t="shared" ca="1" si="1"/>
        <v>2.2383561643835614</v>
      </c>
    </row>
    <row r="80" spans="1:13" x14ac:dyDescent="0.25">
      <c r="A80" s="2" t="s">
        <v>267</v>
      </c>
      <c r="B80" s="2" t="s">
        <v>151</v>
      </c>
      <c r="C80" s="2" t="s">
        <v>14</v>
      </c>
      <c r="D80" s="2" t="s">
        <v>15</v>
      </c>
      <c r="E80" s="2" t="s">
        <v>16</v>
      </c>
      <c r="F80" s="2" t="s">
        <v>25</v>
      </c>
      <c r="G80" s="2">
        <v>34</v>
      </c>
      <c r="H80" s="2" t="s">
        <v>268</v>
      </c>
      <c r="I80" s="2"/>
      <c r="J80" s="2" t="s">
        <v>19</v>
      </c>
      <c r="K80" s="2">
        <v>50779</v>
      </c>
      <c r="L80" s="2">
        <v>5</v>
      </c>
      <c r="M80">
        <f t="shared" ca="1" si="1"/>
        <v>7.0684931506849313</v>
      </c>
    </row>
    <row r="81" spans="1:13" x14ac:dyDescent="0.25">
      <c r="A81" s="2" t="s">
        <v>269</v>
      </c>
      <c r="B81" s="2" t="s">
        <v>36</v>
      </c>
      <c r="C81" s="2" t="s">
        <v>46</v>
      </c>
      <c r="D81" s="2" t="s">
        <v>47</v>
      </c>
      <c r="E81" s="2" t="s">
        <v>157</v>
      </c>
      <c r="F81" s="2" t="s">
        <v>17</v>
      </c>
      <c r="G81" s="2">
        <v>39</v>
      </c>
      <c r="H81" s="2" t="s">
        <v>270</v>
      </c>
      <c r="I81" s="2" t="s">
        <v>271</v>
      </c>
      <c r="J81" s="2" t="s">
        <v>28</v>
      </c>
      <c r="K81" s="2">
        <v>51595</v>
      </c>
      <c r="L81" s="2">
        <v>4</v>
      </c>
      <c r="M81">
        <f t="shared" ca="1" si="1"/>
        <v>2.4794520547945207</v>
      </c>
    </row>
    <row r="82" spans="1:13" x14ac:dyDescent="0.25">
      <c r="A82" s="2" t="s">
        <v>272</v>
      </c>
      <c r="B82" s="2" t="s">
        <v>51</v>
      </c>
      <c r="C82" s="2" t="s">
        <v>46</v>
      </c>
      <c r="D82" s="2" t="s">
        <v>62</v>
      </c>
      <c r="E82" s="2" t="s">
        <v>170</v>
      </c>
      <c r="F82" s="2" t="s">
        <v>17</v>
      </c>
      <c r="G82" s="2">
        <v>45</v>
      </c>
      <c r="H82" s="2" t="s">
        <v>273</v>
      </c>
      <c r="I82" s="2"/>
      <c r="J82" s="2" t="s">
        <v>19</v>
      </c>
      <c r="K82" s="2">
        <v>62231</v>
      </c>
      <c r="L82" s="2">
        <v>4</v>
      </c>
      <c r="M82">
        <f t="shared" ca="1" si="1"/>
        <v>8.5972602739726032</v>
      </c>
    </row>
    <row r="83" spans="1:13" x14ac:dyDescent="0.25">
      <c r="A83" s="2" t="s">
        <v>274</v>
      </c>
      <c r="B83" s="2" t="s">
        <v>105</v>
      </c>
      <c r="C83" s="2" t="s">
        <v>166</v>
      </c>
      <c r="D83" s="2" t="s">
        <v>23</v>
      </c>
      <c r="E83" s="2" t="s">
        <v>142</v>
      </c>
      <c r="F83" s="2" t="s">
        <v>17</v>
      </c>
      <c r="G83" s="2">
        <v>40</v>
      </c>
      <c r="H83" s="2" t="s">
        <v>275</v>
      </c>
      <c r="I83" s="2"/>
      <c r="J83" s="2" t="s">
        <v>19</v>
      </c>
      <c r="K83" s="2">
        <v>85450</v>
      </c>
      <c r="L83" s="2">
        <v>5</v>
      </c>
      <c r="M83">
        <f t="shared" ca="1" si="1"/>
        <v>2.7835616438356166</v>
      </c>
    </row>
    <row r="84" spans="1:13" x14ac:dyDescent="0.25">
      <c r="A84" s="2" t="s">
        <v>276</v>
      </c>
      <c r="B84" s="2" t="s">
        <v>248</v>
      </c>
      <c r="C84" s="2" t="s">
        <v>22</v>
      </c>
      <c r="D84" s="2" t="s">
        <v>32</v>
      </c>
      <c r="E84" s="2" t="s">
        <v>33</v>
      </c>
      <c r="F84" s="2" t="s">
        <v>25</v>
      </c>
      <c r="G84" s="2">
        <v>52</v>
      </c>
      <c r="H84" s="2" t="s">
        <v>277</v>
      </c>
      <c r="I84" s="2"/>
      <c r="J84" s="2" t="s">
        <v>19</v>
      </c>
      <c r="K84" s="2">
        <v>52582</v>
      </c>
      <c r="L84" s="2">
        <v>3</v>
      </c>
      <c r="M84">
        <f t="shared" ca="1" si="1"/>
        <v>5.2383561643835614</v>
      </c>
    </row>
    <row r="85" spans="1:13" x14ac:dyDescent="0.25">
      <c r="A85" s="2" t="s">
        <v>278</v>
      </c>
      <c r="B85" s="2" t="s">
        <v>105</v>
      </c>
      <c r="C85" s="2" t="s">
        <v>101</v>
      </c>
      <c r="D85" s="2" t="s">
        <v>23</v>
      </c>
      <c r="E85" s="2" t="s">
        <v>24</v>
      </c>
      <c r="F85" s="2" t="s">
        <v>17</v>
      </c>
      <c r="G85" s="2">
        <v>47</v>
      </c>
      <c r="H85" s="2" t="s">
        <v>279</v>
      </c>
      <c r="I85" s="2"/>
      <c r="J85" s="2" t="s">
        <v>19</v>
      </c>
      <c r="K85" s="2">
        <v>48453</v>
      </c>
      <c r="L85" s="2">
        <v>4</v>
      </c>
      <c r="M85">
        <f t="shared" ca="1" si="1"/>
        <v>5.0904109589041093</v>
      </c>
    </row>
    <row r="86" spans="1:13" x14ac:dyDescent="0.25">
      <c r="A86" s="2" t="s">
        <v>280</v>
      </c>
      <c r="B86" s="2" t="s">
        <v>80</v>
      </c>
      <c r="C86" s="2" t="s">
        <v>173</v>
      </c>
      <c r="D86" s="2" t="s">
        <v>82</v>
      </c>
      <c r="E86" s="2" t="s">
        <v>83</v>
      </c>
      <c r="F86" s="2" t="s">
        <v>17</v>
      </c>
      <c r="G86" s="2">
        <v>27</v>
      </c>
      <c r="H86" s="2" t="s">
        <v>281</v>
      </c>
      <c r="I86" s="2"/>
      <c r="J86" s="2" t="s">
        <v>19</v>
      </c>
      <c r="K86" s="2">
        <v>80143</v>
      </c>
      <c r="L86" s="2">
        <v>4</v>
      </c>
      <c r="M86">
        <f t="shared" ca="1" si="1"/>
        <v>7.8246575342465752</v>
      </c>
    </row>
    <row r="87" spans="1:13" x14ac:dyDescent="0.25">
      <c r="A87" s="2" t="s">
        <v>282</v>
      </c>
      <c r="B87" s="2" t="s">
        <v>66</v>
      </c>
      <c r="C87" s="2" t="s">
        <v>94</v>
      </c>
      <c r="D87" s="2" t="s">
        <v>53</v>
      </c>
      <c r="E87" s="2" t="s">
        <v>54</v>
      </c>
      <c r="F87" s="2" t="s">
        <v>17</v>
      </c>
      <c r="G87" s="2">
        <v>50</v>
      </c>
      <c r="H87" s="2" t="s">
        <v>283</v>
      </c>
      <c r="I87" s="2" t="s">
        <v>284</v>
      </c>
      <c r="J87" s="2" t="s">
        <v>28</v>
      </c>
      <c r="K87" s="2">
        <v>50003</v>
      </c>
      <c r="L87" s="2">
        <v>4</v>
      </c>
      <c r="M87">
        <f t="shared" ca="1" si="1"/>
        <v>7.2739726027397262</v>
      </c>
    </row>
    <row r="88" spans="1:13" x14ac:dyDescent="0.25">
      <c r="A88" s="2" t="s">
        <v>285</v>
      </c>
      <c r="B88" s="2" t="s">
        <v>97</v>
      </c>
      <c r="C88" s="2" t="s">
        <v>52</v>
      </c>
      <c r="D88" s="2" t="s">
        <v>82</v>
      </c>
      <c r="E88" s="2" t="s">
        <v>102</v>
      </c>
      <c r="F88" s="2" t="s">
        <v>17</v>
      </c>
      <c r="G88" s="2">
        <v>35</v>
      </c>
      <c r="H88" s="2" t="s">
        <v>286</v>
      </c>
      <c r="I88" s="2"/>
      <c r="J88" s="2" t="s">
        <v>19</v>
      </c>
      <c r="K88" s="2">
        <v>49573</v>
      </c>
      <c r="L88" s="2">
        <v>3</v>
      </c>
      <c r="M88">
        <f t="shared" ca="1" si="1"/>
        <v>7.6410958904109592</v>
      </c>
    </row>
    <row r="89" spans="1:13" x14ac:dyDescent="0.25">
      <c r="A89" s="2" t="s">
        <v>287</v>
      </c>
      <c r="B89" s="2" t="s">
        <v>80</v>
      </c>
      <c r="C89" s="2" t="s">
        <v>22</v>
      </c>
      <c r="D89" s="2" t="s">
        <v>53</v>
      </c>
      <c r="E89" s="2" t="s">
        <v>54</v>
      </c>
      <c r="F89" s="2" t="s">
        <v>17</v>
      </c>
      <c r="G89" s="2">
        <v>60</v>
      </c>
      <c r="H89" s="2" t="s">
        <v>288</v>
      </c>
      <c r="I89" s="2"/>
      <c r="J89" s="2" t="s">
        <v>19</v>
      </c>
      <c r="K89" s="2">
        <v>45534</v>
      </c>
      <c r="L89" s="2">
        <v>3</v>
      </c>
      <c r="M89">
        <f t="shared" ca="1" si="1"/>
        <v>5.3369863013698629</v>
      </c>
    </row>
    <row r="90" spans="1:13" x14ac:dyDescent="0.25">
      <c r="A90" s="2" t="s">
        <v>289</v>
      </c>
      <c r="B90" s="2" t="s">
        <v>240</v>
      </c>
      <c r="C90" s="2" t="s">
        <v>31</v>
      </c>
      <c r="D90" s="2" t="s">
        <v>23</v>
      </c>
      <c r="E90" s="2" t="s">
        <v>142</v>
      </c>
      <c r="F90" s="2" t="s">
        <v>25</v>
      </c>
      <c r="G90" s="2">
        <v>36</v>
      </c>
      <c r="H90" s="2" t="s">
        <v>286</v>
      </c>
      <c r="I90" s="2" t="s">
        <v>290</v>
      </c>
      <c r="J90" s="2" t="s">
        <v>28</v>
      </c>
      <c r="K90" s="2">
        <v>78241</v>
      </c>
      <c r="L90" s="2">
        <v>3</v>
      </c>
      <c r="M90">
        <f t="shared" ca="1" si="1"/>
        <v>7.6410958904109592</v>
      </c>
    </row>
    <row r="91" spans="1:13" x14ac:dyDescent="0.25">
      <c r="A91" s="2" t="s">
        <v>291</v>
      </c>
      <c r="B91" s="2" t="s">
        <v>57</v>
      </c>
      <c r="C91" s="2" t="s">
        <v>173</v>
      </c>
      <c r="D91" s="2" t="s">
        <v>62</v>
      </c>
      <c r="E91" s="2" t="s">
        <v>170</v>
      </c>
      <c r="F91" s="2" t="s">
        <v>17</v>
      </c>
      <c r="G91" s="2">
        <v>26</v>
      </c>
      <c r="H91" s="2" t="s">
        <v>292</v>
      </c>
      <c r="I91" s="2"/>
      <c r="J91" s="2" t="s">
        <v>19</v>
      </c>
      <c r="K91" s="2">
        <v>67039</v>
      </c>
      <c r="L91" s="2">
        <v>4</v>
      </c>
      <c r="M91">
        <f t="shared" ca="1" si="1"/>
        <v>9.9397260273972599</v>
      </c>
    </row>
    <row r="92" spans="1:13" x14ac:dyDescent="0.25">
      <c r="A92" s="2" t="s">
        <v>293</v>
      </c>
      <c r="B92" s="2" t="s">
        <v>108</v>
      </c>
      <c r="C92" s="2" t="s">
        <v>52</v>
      </c>
      <c r="D92" s="2" t="s">
        <v>53</v>
      </c>
      <c r="E92" s="2" t="s">
        <v>126</v>
      </c>
      <c r="F92" s="2" t="s">
        <v>25</v>
      </c>
      <c r="G92" s="2">
        <v>41</v>
      </c>
      <c r="H92" s="2" t="s">
        <v>294</v>
      </c>
      <c r="I92" s="2"/>
      <c r="J92" s="2" t="s">
        <v>19</v>
      </c>
      <c r="K92" s="2">
        <v>71460</v>
      </c>
      <c r="L92" s="2">
        <v>3</v>
      </c>
      <c r="M92">
        <f t="shared" ca="1" si="1"/>
        <v>2.7561643835616438</v>
      </c>
    </row>
    <row r="93" spans="1:13" x14ac:dyDescent="0.25">
      <c r="A93" s="2" t="s">
        <v>295</v>
      </c>
      <c r="B93" s="2" t="s">
        <v>108</v>
      </c>
      <c r="C93" s="2" t="s">
        <v>125</v>
      </c>
      <c r="D93" s="2" t="s">
        <v>32</v>
      </c>
      <c r="E93" s="2" t="s">
        <v>41</v>
      </c>
      <c r="F93" s="2" t="s">
        <v>25</v>
      </c>
      <c r="G93" s="2">
        <v>49</v>
      </c>
      <c r="H93" s="2" t="s">
        <v>296</v>
      </c>
      <c r="I93" s="2"/>
      <c r="J93" s="2" t="s">
        <v>19</v>
      </c>
      <c r="K93" s="2">
        <v>64891</v>
      </c>
      <c r="L93" s="2">
        <v>3</v>
      </c>
      <c r="M93">
        <f t="shared" ca="1" si="1"/>
        <v>2.3671232876712329</v>
      </c>
    </row>
    <row r="94" spans="1:13" x14ac:dyDescent="0.25">
      <c r="A94" s="2" t="s">
        <v>297</v>
      </c>
      <c r="B94" s="2" t="s">
        <v>36</v>
      </c>
      <c r="C94" s="2" t="s">
        <v>76</v>
      </c>
      <c r="D94" s="2" t="s">
        <v>32</v>
      </c>
      <c r="E94" s="2" t="s">
        <v>41</v>
      </c>
      <c r="F94" s="2" t="s">
        <v>17</v>
      </c>
      <c r="G94" s="2">
        <v>39</v>
      </c>
      <c r="H94" s="2" t="s">
        <v>298</v>
      </c>
      <c r="I94" s="2"/>
      <c r="J94" s="2" t="s">
        <v>19</v>
      </c>
      <c r="K94" s="2">
        <v>57870</v>
      </c>
      <c r="L94" s="2">
        <v>3</v>
      </c>
      <c r="M94">
        <f t="shared" ca="1" si="1"/>
        <v>4.1424657534246574</v>
      </c>
    </row>
    <row r="95" spans="1:13" x14ac:dyDescent="0.25">
      <c r="A95" s="2" t="s">
        <v>299</v>
      </c>
      <c r="B95" s="2" t="s">
        <v>75</v>
      </c>
      <c r="C95" s="2" t="s">
        <v>14</v>
      </c>
      <c r="D95" s="2" t="s">
        <v>15</v>
      </c>
      <c r="E95" s="2" t="s">
        <v>122</v>
      </c>
      <c r="F95" s="2" t="s">
        <v>25</v>
      </c>
      <c r="G95" s="2">
        <v>49</v>
      </c>
      <c r="H95" s="2" t="s">
        <v>58</v>
      </c>
      <c r="I95" s="2"/>
      <c r="J95" s="2" t="s">
        <v>19</v>
      </c>
      <c r="K95" s="2">
        <v>73494</v>
      </c>
      <c r="L95" s="2">
        <v>3</v>
      </c>
      <c r="M95">
        <f t="shared" ca="1" si="1"/>
        <v>3.484931506849315</v>
      </c>
    </row>
    <row r="96" spans="1:13" x14ac:dyDescent="0.25">
      <c r="A96" s="2" t="s">
        <v>300</v>
      </c>
      <c r="B96" s="2" t="s">
        <v>169</v>
      </c>
      <c r="C96" s="2" t="s">
        <v>37</v>
      </c>
      <c r="D96" s="2" t="s">
        <v>47</v>
      </c>
      <c r="E96" s="2" t="s">
        <v>48</v>
      </c>
      <c r="F96" s="2" t="s">
        <v>25</v>
      </c>
      <c r="G96" s="2">
        <v>32</v>
      </c>
      <c r="H96" s="2" t="s">
        <v>301</v>
      </c>
      <c r="I96" s="2"/>
      <c r="J96" s="2" t="s">
        <v>19</v>
      </c>
      <c r="K96" s="2">
        <v>41117</v>
      </c>
      <c r="L96" s="2">
        <v>3</v>
      </c>
      <c r="M96">
        <f t="shared" ca="1" si="1"/>
        <v>6.9095890410958907</v>
      </c>
    </row>
    <row r="97" spans="1:13" x14ac:dyDescent="0.25">
      <c r="A97" s="2" t="s">
        <v>302</v>
      </c>
      <c r="B97" s="2" t="s">
        <v>93</v>
      </c>
      <c r="C97" s="2" t="s">
        <v>148</v>
      </c>
      <c r="D97" s="2" t="s">
        <v>23</v>
      </c>
      <c r="E97" s="2" t="s">
        <v>219</v>
      </c>
      <c r="F97" s="2" t="s">
        <v>25</v>
      </c>
      <c r="G97" s="2">
        <v>27</v>
      </c>
      <c r="H97" s="2" t="s">
        <v>303</v>
      </c>
      <c r="I97" s="2"/>
      <c r="J97" s="2" t="s">
        <v>19</v>
      </c>
      <c r="K97" s="2">
        <v>57296</v>
      </c>
      <c r="L97" s="2">
        <v>2</v>
      </c>
      <c r="M97">
        <f t="shared" ca="1" si="1"/>
        <v>7.0794520547945208</v>
      </c>
    </row>
    <row r="98" spans="1:13" x14ac:dyDescent="0.25">
      <c r="A98" s="2" t="s">
        <v>304</v>
      </c>
      <c r="B98" s="2" t="s">
        <v>93</v>
      </c>
      <c r="C98" s="2" t="s">
        <v>94</v>
      </c>
      <c r="D98" s="2" t="s">
        <v>82</v>
      </c>
      <c r="E98" s="2" t="s">
        <v>102</v>
      </c>
      <c r="F98" s="2" t="s">
        <v>25</v>
      </c>
      <c r="G98" s="2">
        <v>56</v>
      </c>
      <c r="H98" s="2" t="s">
        <v>305</v>
      </c>
      <c r="I98" s="2"/>
      <c r="J98" s="2" t="s">
        <v>19</v>
      </c>
      <c r="K98" s="2">
        <v>47888</v>
      </c>
      <c r="L98" s="2">
        <v>3</v>
      </c>
      <c r="M98">
        <f t="shared" ca="1" si="1"/>
        <v>5.4246575342465757</v>
      </c>
    </row>
    <row r="99" spans="1:13" x14ac:dyDescent="0.25">
      <c r="A99" s="2" t="s">
        <v>306</v>
      </c>
      <c r="B99" s="2" t="s">
        <v>45</v>
      </c>
      <c r="C99" s="2" t="s">
        <v>101</v>
      </c>
      <c r="D99" s="2" t="s">
        <v>47</v>
      </c>
      <c r="E99" s="2" t="s">
        <v>157</v>
      </c>
      <c r="F99" s="2" t="s">
        <v>25</v>
      </c>
      <c r="G99" s="2">
        <v>25</v>
      </c>
      <c r="H99" s="2" t="s">
        <v>307</v>
      </c>
      <c r="I99" s="2"/>
      <c r="J99" s="2" t="s">
        <v>19</v>
      </c>
      <c r="K99" s="2">
        <v>51998</v>
      </c>
      <c r="L99" s="2">
        <v>3</v>
      </c>
      <c r="M99">
        <f t="shared" ca="1" si="1"/>
        <v>8.3260273972602743</v>
      </c>
    </row>
    <row r="100" spans="1:13" x14ac:dyDescent="0.25">
      <c r="A100" s="2" t="s">
        <v>308</v>
      </c>
      <c r="B100" s="2" t="s">
        <v>108</v>
      </c>
      <c r="C100" s="2" t="s">
        <v>101</v>
      </c>
      <c r="D100" s="2" t="s">
        <v>23</v>
      </c>
      <c r="E100" s="2" t="s">
        <v>24</v>
      </c>
      <c r="F100" s="2" t="s">
        <v>25</v>
      </c>
      <c r="G100" s="2">
        <v>60</v>
      </c>
      <c r="H100" s="2" t="s">
        <v>309</v>
      </c>
      <c r="I100" s="2"/>
      <c r="J100" s="2" t="s">
        <v>19</v>
      </c>
      <c r="K100" s="2">
        <v>41594</v>
      </c>
      <c r="L100" s="2">
        <v>3</v>
      </c>
      <c r="M100">
        <f t="shared" ca="1" si="1"/>
        <v>1.6410958904109589</v>
      </c>
    </row>
    <row r="101" spans="1:13" x14ac:dyDescent="0.25">
      <c r="A101" s="2" t="s">
        <v>310</v>
      </c>
      <c r="B101" s="2" t="s">
        <v>114</v>
      </c>
      <c r="C101" s="2" t="s">
        <v>130</v>
      </c>
      <c r="D101" s="2" t="s">
        <v>23</v>
      </c>
      <c r="E101" s="2" t="s">
        <v>24</v>
      </c>
      <c r="F101" s="2" t="s">
        <v>17</v>
      </c>
      <c r="G101" s="2">
        <v>29</v>
      </c>
      <c r="H101" s="2" t="s">
        <v>311</v>
      </c>
      <c r="I101" s="2"/>
      <c r="J101" s="2" t="s">
        <v>19</v>
      </c>
      <c r="K101" s="2">
        <v>49612</v>
      </c>
      <c r="L101" s="2">
        <v>4</v>
      </c>
      <c r="M101">
        <f t="shared" ca="1" si="1"/>
        <v>5.4301369863013695</v>
      </c>
    </row>
    <row r="102" spans="1:13" x14ac:dyDescent="0.25">
      <c r="A102" s="2" t="s">
        <v>312</v>
      </c>
      <c r="B102" s="2" t="s">
        <v>75</v>
      </c>
      <c r="C102" s="2" t="s">
        <v>202</v>
      </c>
      <c r="D102" s="2" t="s">
        <v>32</v>
      </c>
      <c r="E102" s="2" t="s">
        <v>163</v>
      </c>
      <c r="F102" s="2" t="s">
        <v>25</v>
      </c>
      <c r="G102" s="2">
        <v>39</v>
      </c>
      <c r="H102" s="2" t="s">
        <v>313</v>
      </c>
      <c r="I102" s="2"/>
      <c r="J102" s="2" t="s">
        <v>19</v>
      </c>
      <c r="K102" s="2">
        <v>84736</v>
      </c>
      <c r="L102" s="2">
        <v>3</v>
      </c>
      <c r="M102">
        <f t="shared" ca="1" si="1"/>
        <v>5.9479452054794519</v>
      </c>
    </row>
    <row r="103" spans="1:13" x14ac:dyDescent="0.25">
      <c r="A103" s="2" t="s">
        <v>314</v>
      </c>
      <c r="B103" s="2" t="s">
        <v>133</v>
      </c>
      <c r="C103" s="2" t="s">
        <v>46</v>
      </c>
      <c r="D103" s="2" t="s">
        <v>32</v>
      </c>
      <c r="E103" s="2" t="s">
        <v>163</v>
      </c>
      <c r="F103" s="2" t="s">
        <v>17</v>
      </c>
      <c r="G103" s="2">
        <v>30</v>
      </c>
      <c r="H103" s="2" t="s">
        <v>315</v>
      </c>
      <c r="I103" s="2"/>
      <c r="J103" s="2" t="s">
        <v>19</v>
      </c>
      <c r="K103" s="2">
        <v>81526</v>
      </c>
      <c r="L103" s="2">
        <v>4</v>
      </c>
      <c r="M103">
        <f t="shared" ca="1" si="1"/>
        <v>0.9123287671232877</v>
      </c>
    </row>
    <row r="104" spans="1:13" x14ac:dyDescent="0.25">
      <c r="A104" s="2" t="s">
        <v>316</v>
      </c>
      <c r="B104" s="2" t="s">
        <v>169</v>
      </c>
      <c r="C104" s="2" t="s">
        <v>94</v>
      </c>
      <c r="D104" s="2" t="s">
        <v>62</v>
      </c>
      <c r="E104" s="2" t="s">
        <v>170</v>
      </c>
      <c r="F104" s="2" t="s">
        <v>25</v>
      </c>
      <c r="G104" s="2">
        <v>40</v>
      </c>
      <c r="H104" s="2" t="s">
        <v>317</v>
      </c>
      <c r="I104" s="2"/>
      <c r="J104" s="2" t="s">
        <v>19</v>
      </c>
      <c r="K104" s="2">
        <v>71616</v>
      </c>
      <c r="L104" s="2">
        <v>4</v>
      </c>
      <c r="M104">
        <f t="shared" ca="1" si="1"/>
        <v>2.463013698630137</v>
      </c>
    </row>
    <row r="105" spans="1:13" x14ac:dyDescent="0.25">
      <c r="A105" s="2" t="s">
        <v>318</v>
      </c>
      <c r="B105" s="2" t="s">
        <v>93</v>
      </c>
      <c r="C105" s="2" t="s">
        <v>173</v>
      </c>
      <c r="D105" s="2" t="s">
        <v>53</v>
      </c>
      <c r="E105" s="2" t="s">
        <v>126</v>
      </c>
      <c r="F105" s="2" t="s">
        <v>25</v>
      </c>
      <c r="G105" s="2">
        <v>52</v>
      </c>
      <c r="H105" s="2" t="s">
        <v>319</v>
      </c>
      <c r="I105" s="2"/>
      <c r="J105" s="2" t="s">
        <v>19</v>
      </c>
      <c r="K105" s="2">
        <v>76042</v>
      </c>
      <c r="L105" s="2">
        <v>4</v>
      </c>
      <c r="M105">
        <f t="shared" ca="1" si="1"/>
        <v>6.7369863013698632</v>
      </c>
    </row>
    <row r="106" spans="1:13" x14ac:dyDescent="0.25">
      <c r="A106" s="2" t="s">
        <v>320</v>
      </c>
      <c r="B106" s="2" t="s">
        <v>108</v>
      </c>
      <c r="C106" s="2" t="s">
        <v>37</v>
      </c>
      <c r="D106" s="2" t="s">
        <v>82</v>
      </c>
      <c r="E106" s="2" t="s">
        <v>102</v>
      </c>
      <c r="F106" s="2" t="s">
        <v>25</v>
      </c>
      <c r="G106" s="2">
        <v>37</v>
      </c>
      <c r="H106" s="2" t="s">
        <v>321</v>
      </c>
      <c r="I106" s="2"/>
      <c r="J106" s="2" t="s">
        <v>19</v>
      </c>
      <c r="K106" s="2">
        <v>50826</v>
      </c>
      <c r="L106" s="2">
        <v>5</v>
      </c>
      <c r="M106">
        <f t="shared" ca="1" si="1"/>
        <v>4.1917808219178081</v>
      </c>
    </row>
    <row r="107" spans="1:13" x14ac:dyDescent="0.25">
      <c r="A107" s="2" t="s">
        <v>322</v>
      </c>
      <c r="B107" s="2" t="s">
        <v>21</v>
      </c>
      <c r="C107" s="2" t="s">
        <v>37</v>
      </c>
      <c r="D107" s="2" t="s">
        <v>47</v>
      </c>
      <c r="E107" s="2" t="s">
        <v>157</v>
      </c>
      <c r="F107" s="2" t="s">
        <v>25</v>
      </c>
      <c r="G107" s="2">
        <v>46</v>
      </c>
      <c r="H107" s="2" t="s">
        <v>323</v>
      </c>
      <c r="I107" s="2"/>
      <c r="J107" s="2" t="s">
        <v>19</v>
      </c>
      <c r="K107" s="2">
        <v>51115</v>
      </c>
      <c r="L107" s="2">
        <v>5</v>
      </c>
      <c r="M107">
        <f t="shared" ca="1" si="1"/>
        <v>6.2767123287671236</v>
      </c>
    </row>
    <row r="108" spans="1:13" x14ac:dyDescent="0.25">
      <c r="A108" s="2" t="s">
        <v>324</v>
      </c>
      <c r="B108" s="2" t="s">
        <v>114</v>
      </c>
      <c r="C108" s="2" t="s">
        <v>76</v>
      </c>
      <c r="D108" s="2" t="s">
        <v>62</v>
      </c>
      <c r="E108" s="2" t="s">
        <v>170</v>
      </c>
      <c r="F108" s="2" t="s">
        <v>17</v>
      </c>
      <c r="G108" s="2">
        <v>50</v>
      </c>
      <c r="H108" s="2" t="s">
        <v>325</v>
      </c>
      <c r="I108" s="2" t="s">
        <v>326</v>
      </c>
      <c r="J108" s="2" t="s">
        <v>28</v>
      </c>
      <c r="K108" s="2">
        <v>62251</v>
      </c>
      <c r="L108" s="2">
        <v>4</v>
      </c>
      <c r="M108">
        <f t="shared" ca="1" si="1"/>
        <v>9.4904109589041088</v>
      </c>
    </row>
    <row r="109" spans="1:13" x14ac:dyDescent="0.25">
      <c r="A109" s="2" t="s">
        <v>327</v>
      </c>
      <c r="B109" s="2" t="s">
        <v>93</v>
      </c>
      <c r="C109" s="2" t="s">
        <v>173</v>
      </c>
      <c r="D109" s="2" t="s">
        <v>23</v>
      </c>
      <c r="E109" s="2" t="s">
        <v>219</v>
      </c>
      <c r="F109" s="2" t="s">
        <v>25</v>
      </c>
      <c r="G109" s="2">
        <v>38</v>
      </c>
      <c r="H109" s="2" t="s">
        <v>328</v>
      </c>
      <c r="I109" s="2" t="s">
        <v>329</v>
      </c>
      <c r="J109" s="2" t="s">
        <v>28</v>
      </c>
      <c r="K109" s="2">
        <v>62646</v>
      </c>
      <c r="L109" s="2">
        <v>2</v>
      </c>
      <c r="M109">
        <f t="shared" ca="1" si="1"/>
        <v>6.8109589041095893</v>
      </c>
    </row>
    <row r="110" spans="1:13" x14ac:dyDescent="0.25">
      <c r="A110" s="2" t="s">
        <v>330</v>
      </c>
      <c r="B110" s="2" t="s">
        <v>93</v>
      </c>
      <c r="C110" s="2" t="s">
        <v>148</v>
      </c>
      <c r="D110" s="2" t="s">
        <v>53</v>
      </c>
      <c r="E110" s="2" t="s">
        <v>54</v>
      </c>
      <c r="F110" s="2" t="s">
        <v>25</v>
      </c>
      <c r="G110" s="2">
        <v>53</v>
      </c>
      <c r="H110" s="2" t="s">
        <v>331</v>
      </c>
      <c r="I110" s="2" t="s">
        <v>332</v>
      </c>
      <c r="J110" s="2" t="s">
        <v>28</v>
      </c>
      <c r="K110" s="2">
        <v>55116</v>
      </c>
      <c r="L110" s="2">
        <v>2</v>
      </c>
      <c r="M110">
        <f t="shared" ca="1" si="1"/>
        <v>0.81917808219178079</v>
      </c>
    </row>
    <row r="111" spans="1:13" x14ac:dyDescent="0.25">
      <c r="A111" s="2" t="s">
        <v>333</v>
      </c>
      <c r="B111" s="2" t="s">
        <v>30</v>
      </c>
      <c r="C111" s="2" t="s">
        <v>125</v>
      </c>
      <c r="D111" s="2" t="s">
        <v>53</v>
      </c>
      <c r="E111" s="2" t="s">
        <v>90</v>
      </c>
      <c r="F111" s="2" t="s">
        <v>25</v>
      </c>
      <c r="G111" s="2">
        <v>28</v>
      </c>
      <c r="H111" s="2" t="s">
        <v>334</v>
      </c>
      <c r="I111" s="2"/>
      <c r="J111" s="2" t="s">
        <v>19</v>
      </c>
      <c r="K111" s="2">
        <v>41906</v>
      </c>
      <c r="L111" s="2">
        <v>5</v>
      </c>
      <c r="M111">
        <f t="shared" ca="1" si="1"/>
        <v>5.6301369863013697</v>
      </c>
    </row>
    <row r="112" spans="1:13" x14ac:dyDescent="0.25">
      <c r="A112" s="2" t="s">
        <v>335</v>
      </c>
      <c r="B112" s="2" t="s">
        <v>235</v>
      </c>
      <c r="C112" s="2" t="s">
        <v>166</v>
      </c>
      <c r="D112" s="2" t="s">
        <v>62</v>
      </c>
      <c r="E112" s="2" t="s">
        <v>195</v>
      </c>
      <c r="F112" s="2" t="s">
        <v>17</v>
      </c>
      <c r="G112" s="2">
        <v>45</v>
      </c>
      <c r="H112" s="2" t="s">
        <v>336</v>
      </c>
      <c r="I112" s="2"/>
      <c r="J112" s="2" t="s">
        <v>19</v>
      </c>
      <c r="K112" s="2">
        <v>53000</v>
      </c>
      <c r="L112" s="2">
        <v>4</v>
      </c>
      <c r="M112">
        <f t="shared" ca="1" si="1"/>
        <v>5.7753424657534245</v>
      </c>
    </row>
    <row r="113" spans="1:13" x14ac:dyDescent="0.25">
      <c r="A113" s="2" t="s">
        <v>337</v>
      </c>
      <c r="B113" s="2" t="s">
        <v>80</v>
      </c>
      <c r="C113" s="2" t="s">
        <v>81</v>
      </c>
      <c r="D113" s="2" t="s">
        <v>23</v>
      </c>
      <c r="E113" s="2" t="s">
        <v>142</v>
      </c>
      <c r="F113" s="2" t="s">
        <v>17</v>
      </c>
      <c r="G113" s="2">
        <v>46</v>
      </c>
      <c r="H113" s="2" t="s">
        <v>338</v>
      </c>
      <c r="I113" s="2"/>
      <c r="J113" s="2" t="s">
        <v>19</v>
      </c>
      <c r="K113" s="2">
        <v>83153</v>
      </c>
      <c r="L113" s="2">
        <v>5</v>
      </c>
      <c r="M113">
        <f t="shared" ca="1" si="1"/>
        <v>3.6547945205479451</v>
      </c>
    </row>
    <row r="114" spans="1:13" x14ac:dyDescent="0.25">
      <c r="A114" s="2" t="s">
        <v>339</v>
      </c>
      <c r="B114" s="2" t="s">
        <v>36</v>
      </c>
      <c r="C114" s="2" t="s">
        <v>31</v>
      </c>
      <c r="D114" s="2" t="s">
        <v>47</v>
      </c>
      <c r="E114" s="2" t="s">
        <v>157</v>
      </c>
      <c r="F114" s="2" t="s">
        <v>17</v>
      </c>
      <c r="G114" s="2">
        <v>51</v>
      </c>
      <c r="H114" s="2" t="s">
        <v>340</v>
      </c>
      <c r="I114" s="2"/>
      <c r="J114" s="2" t="s">
        <v>19</v>
      </c>
      <c r="K114" s="2">
        <v>50622</v>
      </c>
      <c r="L114" s="2">
        <v>5</v>
      </c>
      <c r="M114">
        <f t="shared" ca="1" si="1"/>
        <v>7.7452054794520544</v>
      </c>
    </row>
    <row r="115" spans="1:13" x14ac:dyDescent="0.25">
      <c r="A115" s="2" t="s">
        <v>341</v>
      </c>
      <c r="B115" s="2" t="s">
        <v>100</v>
      </c>
      <c r="C115" s="2" t="s">
        <v>31</v>
      </c>
      <c r="D115" s="2" t="s">
        <v>62</v>
      </c>
      <c r="E115" s="2" t="s">
        <v>63</v>
      </c>
      <c r="F115" s="2" t="s">
        <v>17</v>
      </c>
      <c r="G115" s="2">
        <v>41</v>
      </c>
      <c r="H115" s="2" t="s">
        <v>78</v>
      </c>
      <c r="I115" s="2"/>
      <c r="J115" s="2" t="s">
        <v>19</v>
      </c>
      <c r="K115" s="2">
        <v>93097</v>
      </c>
      <c r="L115" s="2">
        <v>3</v>
      </c>
      <c r="M115">
        <f t="shared" ca="1" si="1"/>
        <v>3.4383561643835616</v>
      </c>
    </row>
    <row r="116" spans="1:13" x14ac:dyDescent="0.25">
      <c r="A116" s="2" t="s">
        <v>342</v>
      </c>
      <c r="B116" s="2" t="s">
        <v>30</v>
      </c>
      <c r="C116" s="2" t="s">
        <v>61</v>
      </c>
      <c r="D116" s="2" t="s">
        <v>82</v>
      </c>
      <c r="E116" s="2" t="s">
        <v>83</v>
      </c>
      <c r="F116" s="2" t="s">
        <v>25</v>
      </c>
      <c r="G116" s="2">
        <v>28</v>
      </c>
      <c r="H116" s="2" t="s">
        <v>343</v>
      </c>
      <c r="I116" s="2"/>
      <c r="J116" s="2" t="s">
        <v>19</v>
      </c>
      <c r="K116" s="2">
        <v>80370</v>
      </c>
      <c r="L116" s="2">
        <v>3</v>
      </c>
      <c r="M116">
        <f t="shared" ca="1" si="1"/>
        <v>7.9479452054794519</v>
      </c>
    </row>
    <row r="117" spans="1:13" x14ac:dyDescent="0.25">
      <c r="A117" s="2" t="s">
        <v>344</v>
      </c>
      <c r="B117" s="2" t="s">
        <v>240</v>
      </c>
      <c r="C117" s="2" t="s">
        <v>202</v>
      </c>
      <c r="D117" s="2" t="s">
        <v>23</v>
      </c>
      <c r="E117" s="2" t="s">
        <v>142</v>
      </c>
      <c r="F117" s="2" t="s">
        <v>25</v>
      </c>
      <c r="G117" s="2">
        <v>47</v>
      </c>
      <c r="H117" s="2" t="s">
        <v>216</v>
      </c>
      <c r="I117" s="2"/>
      <c r="J117" s="2" t="s">
        <v>19</v>
      </c>
      <c r="K117" s="2">
        <v>84272</v>
      </c>
      <c r="L117" s="2">
        <v>5</v>
      </c>
      <c r="M117">
        <f t="shared" ca="1" si="1"/>
        <v>7.5287671232876709</v>
      </c>
    </row>
    <row r="118" spans="1:13" x14ac:dyDescent="0.25">
      <c r="A118" s="2" t="s">
        <v>345</v>
      </c>
      <c r="B118" s="2" t="s">
        <v>207</v>
      </c>
      <c r="C118" s="2" t="s">
        <v>141</v>
      </c>
      <c r="D118" s="2" t="s">
        <v>47</v>
      </c>
      <c r="E118" s="2" t="s">
        <v>157</v>
      </c>
      <c r="F118" s="2" t="s">
        <v>17</v>
      </c>
      <c r="G118" s="2">
        <v>40</v>
      </c>
      <c r="H118" s="2" t="s">
        <v>346</v>
      </c>
      <c r="I118" s="2"/>
      <c r="J118" s="2" t="s">
        <v>19</v>
      </c>
      <c r="K118" s="2">
        <v>52946</v>
      </c>
      <c r="L118" s="2">
        <v>4</v>
      </c>
      <c r="M118">
        <f t="shared" ca="1" si="1"/>
        <v>1.904109589041096</v>
      </c>
    </row>
    <row r="119" spans="1:13" x14ac:dyDescent="0.25">
      <c r="A119" s="2" t="s">
        <v>347</v>
      </c>
      <c r="B119" s="2" t="s">
        <v>57</v>
      </c>
      <c r="C119" s="2" t="s">
        <v>46</v>
      </c>
      <c r="D119" s="2" t="s">
        <v>32</v>
      </c>
      <c r="E119" s="2" t="s">
        <v>33</v>
      </c>
      <c r="F119" s="2" t="s">
        <v>17</v>
      </c>
      <c r="G119" s="2">
        <v>30</v>
      </c>
      <c r="H119" s="2" t="s">
        <v>348</v>
      </c>
      <c r="I119" s="2"/>
      <c r="J119" s="2" t="s">
        <v>19</v>
      </c>
      <c r="K119" s="2">
        <v>57280</v>
      </c>
      <c r="L119" s="2">
        <v>4</v>
      </c>
      <c r="M119">
        <f t="shared" ca="1" si="1"/>
        <v>3.558904109589041</v>
      </c>
    </row>
    <row r="120" spans="1:13" x14ac:dyDescent="0.25">
      <c r="A120" s="2" t="s">
        <v>349</v>
      </c>
      <c r="B120" s="2" t="s">
        <v>176</v>
      </c>
      <c r="C120" s="2" t="s">
        <v>31</v>
      </c>
      <c r="D120" s="2" t="s">
        <v>23</v>
      </c>
      <c r="E120" s="2" t="s">
        <v>142</v>
      </c>
      <c r="F120" s="2" t="s">
        <v>25</v>
      </c>
      <c r="G120" s="2">
        <v>45</v>
      </c>
      <c r="H120" s="2" t="s">
        <v>350</v>
      </c>
      <c r="I120" s="2"/>
      <c r="J120" s="2" t="s">
        <v>19</v>
      </c>
      <c r="K120" s="2">
        <v>76476</v>
      </c>
      <c r="L120" s="2">
        <v>5</v>
      </c>
      <c r="M120">
        <f t="shared" ca="1" si="1"/>
        <v>2.3917808219178083</v>
      </c>
    </row>
    <row r="121" spans="1:13" x14ac:dyDescent="0.25">
      <c r="A121" s="2" t="s">
        <v>351</v>
      </c>
      <c r="B121" s="2" t="s">
        <v>240</v>
      </c>
      <c r="C121" s="2" t="s">
        <v>130</v>
      </c>
      <c r="D121" s="2" t="s">
        <v>15</v>
      </c>
      <c r="E121" s="2" t="s">
        <v>16</v>
      </c>
      <c r="F121" s="2" t="s">
        <v>25</v>
      </c>
      <c r="G121" s="2">
        <v>30</v>
      </c>
      <c r="H121" s="2" t="s">
        <v>352</v>
      </c>
      <c r="I121" s="2" t="s">
        <v>353</v>
      </c>
      <c r="J121" s="2" t="s">
        <v>28</v>
      </c>
      <c r="K121" s="2">
        <v>50697</v>
      </c>
      <c r="L121" s="2">
        <v>3</v>
      </c>
      <c r="M121">
        <f t="shared" ca="1" si="1"/>
        <v>1.7835616438356163</v>
      </c>
    </row>
    <row r="122" spans="1:13" x14ac:dyDescent="0.25">
      <c r="A122" s="2" t="s">
        <v>354</v>
      </c>
      <c r="B122" s="2" t="s">
        <v>93</v>
      </c>
      <c r="C122" s="2" t="s">
        <v>81</v>
      </c>
      <c r="D122" s="2" t="s">
        <v>62</v>
      </c>
      <c r="E122" s="2" t="s">
        <v>195</v>
      </c>
      <c r="F122" s="2" t="s">
        <v>25</v>
      </c>
      <c r="G122" s="2">
        <v>40</v>
      </c>
      <c r="H122" s="2" t="s">
        <v>355</v>
      </c>
      <c r="I122" s="2"/>
      <c r="J122" s="2" t="s">
        <v>19</v>
      </c>
      <c r="K122" s="2">
        <v>50886</v>
      </c>
      <c r="L122" s="2">
        <v>3</v>
      </c>
      <c r="M122">
        <f t="shared" ca="1" si="1"/>
        <v>2.2328767123287672</v>
      </c>
    </row>
    <row r="123" spans="1:13" x14ac:dyDescent="0.25">
      <c r="A123" s="2" t="s">
        <v>356</v>
      </c>
      <c r="B123" s="2" t="s">
        <v>80</v>
      </c>
      <c r="C123" s="2" t="s">
        <v>111</v>
      </c>
      <c r="D123" s="2" t="s">
        <v>82</v>
      </c>
      <c r="E123" s="2" t="s">
        <v>83</v>
      </c>
      <c r="F123" s="2" t="s">
        <v>17</v>
      </c>
      <c r="G123" s="2">
        <v>57</v>
      </c>
      <c r="H123" s="2" t="s">
        <v>357</v>
      </c>
      <c r="I123" s="2"/>
      <c r="J123" s="2" t="s">
        <v>19</v>
      </c>
      <c r="K123" s="2">
        <v>77464</v>
      </c>
      <c r="L123" s="2">
        <v>1</v>
      </c>
      <c r="M123">
        <f t="shared" ca="1" si="1"/>
        <v>6.5041095890410956</v>
      </c>
    </row>
    <row r="124" spans="1:13" x14ac:dyDescent="0.25">
      <c r="A124" s="2" t="s">
        <v>358</v>
      </c>
      <c r="B124" s="2" t="s">
        <v>60</v>
      </c>
      <c r="C124" s="2" t="s">
        <v>359</v>
      </c>
      <c r="D124" s="2" t="s">
        <v>47</v>
      </c>
      <c r="E124" s="2" t="s">
        <v>157</v>
      </c>
      <c r="F124" s="2" t="s">
        <v>17</v>
      </c>
      <c r="G124" s="2">
        <v>59</v>
      </c>
      <c r="H124" s="2" t="s">
        <v>360</v>
      </c>
      <c r="I124" s="2"/>
      <c r="J124" s="2" t="s">
        <v>19</v>
      </c>
      <c r="K124" s="2">
        <v>44775</v>
      </c>
      <c r="L124" s="2">
        <v>4</v>
      </c>
      <c r="M124">
        <f t="shared" ca="1" si="1"/>
        <v>6.3342465753424655</v>
      </c>
    </row>
    <row r="125" spans="1:13" x14ac:dyDescent="0.25">
      <c r="A125" s="2" t="s">
        <v>361</v>
      </c>
      <c r="B125" s="2" t="s">
        <v>21</v>
      </c>
      <c r="C125" s="2" t="s">
        <v>141</v>
      </c>
      <c r="D125" s="2" t="s">
        <v>32</v>
      </c>
      <c r="E125" s="2" t="s">
        <v>33</v>
      </c>
      <c r="F125" s="2" t="s">
        <v>25</v>
      </c>
      <c r="G125" s="2">
        <v>36</v>
      </c>
      <c r="H125" s="2" t="s">
        <v>209</v>
      </c>
      <c r="I125" s="2"/>
      <c r="J125" s="2" t="s">
        <v>19</v>
      </c>
      <c r="K125" s="2">
        <v>57410</v>
      </c>
      <c r="L125" s="2">
        <v>4</v>
      </c>
      <c r="M125">
        <f t="shared" ca="1" si="1"/>
        <v>3.3424657534246576</v>
      </c>
    </row>
    <row r="126" spans="1:13" x14ac:dyDescent="0.25">
      <c r="A126" s="2" t="s">
        <v>362</v>
      </c>
      <c r="B126" s="2" t="s">
        <v>190</v>
      </c>
      <c r="C126" s="2" t="s">
        <v>130</v>
      </c>
      <c r="D126" s="2" t="s">
        <v>23</v>
      </c>
      <c r="E126" s="2" t="s">
        <v>24</v>
      </c>
      <c r="F126" s="2" t="s">
        <v>25</v>
      </c>
      <c r="G126" s="2">
        <v>24</v>
      </c>
      <c r="H126" s="2" t="s">
        <v>363</v>
      </c>
      <c r="I126" s="2"/>
      <c r="J126" s="2" t="s">
        <v>19</v>
      </c>
      <c r="K126" s="2">
        <v>47071</v>
      </c>
      <c r="L126" s="2">
        <v>2</v>
      </c>
      <c r="M126">
        <f t="shared" ca="1" si="1"/>
        <v>10.191780821917808</v>
      </c>
    </row>
    <row r="127" spans="1:13" x14ac:dyDescent="0.25">
      <c r="A127" s="2" t="s">
        <v>364</v>
      </c>
      <c r="B127" s="2" t="s">
        <v>207</v>
      </c>
      <c r="C127" s="2" t="s">
        <v>148</v>
      </c>
      <c r="D127" s="2" t="s">
        <v>15</v>
      </c>
      <c r="E127" s="2" t="s">
        <v>71</v>
      </c>
      <c r="F127" s="2" t="s">
        <v>17</v>
      </c>
      <c r="G127" s="2">
        <v>51</v>
      </c>
      <c r="H127" s="2" t="s">
        <v>365</v>
      </c>
      <c r="I127" s="2" t="s">
        <v>366</v>
      </c>
      <c r="J127" s="2" t="s">
        <v>28</v>
      </c>
      <c r="K127" s="2">
        <v>53622</v>
      </c>
      <c r="L127" s="2">
        <v>4</v>
      </c>
      <c r="M127">
        <f t="shared" ca="1" si="1"/>
        <v>6.4465753424657537</v>
      </c>
    </row>
    <row r="128" spans="1:13" x14ac:dyDescent="0.25">
      <c r="A128" s="2" t="s">
        <v>367</v>
      </c>
      <c r="B128" s="2" t="s">
        <v>207</v>
      </c>
      <c r="C128" s="2" t="s">
        <v>130</v>
      </c>
      <c r="D128" s="2" t="s">
        <v>47</v>
      </c>
      <c r="E128" s="2" t="s">
        <v>48</v>
      </c>
      <c r="F128" s="2" t="s">
        <v>17</v>
      </c>
      <c r="G128" s="2">
        <v>53</v>
      </c>
      <c r="H128" s="2" t="s">
        <v>368</v>
      </c>
      <c r="I128" s="2"/>
      <c r="J128" s="2" t="s">
        <v>19</v>
      </c>
      <c r="K128" s="2">
        <v>37583</v>
      </c>
      <c r="L128" s="2">
        <v>2</v>
      </c>
      <c r="M128">
        <f t="shared" ca="1" si="1"/>
        <v>3.7013698630136984</v>
      </c>
    </row>
    <row r="129" spans="1:13" x14ac:dyDescent="0.25">
      <c r="A129" s="2" t="s">
        <v>369</v>
      </c>
      <c r="B129" s="2" t="s">
        <v>30</v>
      </c>
      <c r="C129" s="2" t="s">
        <v>31</v>
      </c>
      <c r="D129" s="2" t="s">
        <v>53</v>
      </c>
      <c r="E129" s="2" t="s">
        <v>90</v>
      </c>
      <c r="F129" s="2" t="s">
        <v>25</v>
      </c>
      <c r="G129" s="2">
        <v>45</v>
      </c>
      <c r="H129" s="2" t="s">
        <v>370</v>
      </c>
      <c r="I129" s="2"/>
      <c r="J129" s="2" t="s">
        <v>19</v>
      </c>
      <c r="K129" s="2">
        <v>45920</v>
      </c>
      <c r="L129" s="2">
        <v>5</v>
      </c>
      <c r="M129">
        <f t="shared" ca="1" si="1"/>
        <v>9.4958904109589035</v>
      </c>
    </row>
    <row r="130" spans="1:13" x14ac:dyDescent="0.25">
      <c r="A130" s="2" t="s">
        <v>371</v>
      </c>
      <c r="B130" s="2" t="s">
        <v>21</v>
      </c>
      <c r="C130" s="2" t="s">
        <v>61</v>
      </c>
      <c r="D130" s="2" t="s">
        <v>62</v>
      </c>
      <c r="E130" s="2" t="s">
        <v>170</v>
      </c>
      <c r="F130" s="2" t="s">
        <v>25</v>
      </c>
      <c r="G130" s="2">
        <v>29</v>
      </c>
      <c r="H130" s="2" t="s">
        <v>372</v>
      </c>
      <c r="I130" s="2"/>
      <c r="J130" s="2" t="s">
        <v>19</v>
      </c>
      <c r="K130" s="2">
        <v>63501</v>
      </c>
      <c r="L130" s="2">
        <v>4</v>
      </c>
      <c r="M130">
        <f t="shared" ca="1" si="1"/>
        <v>1.0931506849315069</v>
      </c>
    </row>
    <row r="131" spans="1:13" x14ac:dyDescent="0.25">
      <c r="A131" s="2" t="s">
        <v>373</v>
      </c>
      <c r="B131" s="2" t="s">
        <v>13</v>
      </c>
      <c r="C131" s="2" t="s">
        <v>37</v>
      </c>
      <c r="D131" s="2" t="s">
        <v>15</v>
      </c>
      <c r="E131" s="2" t="s">
        <v>16</v>
      </c>
      <c r="F131" s="2" t="s">
        <v>17</v>
      </c>
      <c r="G131" s="2">
        <v>58</v>
      </c>
      <c r="H131" s="2" t="s">
        <v>374</v>
      </c>
      <c r="I131" s="2"/>
      <c r="J131" s="2" t="s">
        <v>19</v>
      </c>
      <c r="K131" s="2">
        <v>51080</v>
      </c>
      <c r="L131" s="2">
        <v>3</v>
      </c>
      <c r="M131">
        <f t="shared" ref="M131:M194" ca="1" si="2">(TODAY()-H131)/365</f>
        <v>8.3068493150684937</v>
      </c>
    </row>
    <row r="132" spans="1:13" x14ac:dyDescent="0.25">
      <c r="A132" s="2" t="s">
        <v>375</v>
      </c>
      <c r="B132" s="2" t="s">
        <v>51</v>
      </c>
      <c r="C132" s="2" t="s">
        <v>111</v>
      </c>
      <c r="D132" s="2" t="s">
        <v>62</v>
      </c>
      <c r="E132" s="2" t="s">
        <v>170</v>
      </c>
      <c r="F132" s="2" t="s">
        <v>17</v>
      </c>
      <c r="G132" s="2">
        <v>60</v>
      </c>
      <c r="H132" s="2" t="s">
        <v>376</v>
      </c>
      <c r="I132" s="2"/>
      <c r="J132" s="2" t="s">
        <v>19</v>
      </c>
      <c r="K132" s="2">
        <v>64370</v>
      </c>
      <c r="L132" s="2">
        <v>5</v>
      </c>
      <c r="M132">
        <f t="shared" ca="1" si="2"/>
        <v>10.578082191780823</v>
      </c>
    </row>
    <row r="133" spans="1:13" x14ac:dyDescent="0.25">
      <c r="A133" s="2" t="s">
        <v>377</v>
      </c>
      <c r="B133" s="2" t="s">
        <v>176</v>
      </c>
      <c r="C133" s="2" t="s">
        <v>81</v>
      </c>
      <c r="D133" s="2" t="s">
        <v>23</v>
      </c>
      <c r="E133" s="2" t="s">
        <v>142</v>
      </c>
      <c r="F133" s="2" t="s">
        <v>25</v>
      </c>
      <c r="G133" s="2">
        <v>23</v>
      </c>
      <c r="H133" s="2" t="s">
        <v>378</v>
      </c>
      <c r="I133" s="2"/>
      <c r="J133" s="2" t="s">
        <v>19</v>
      </c>
      <c r="K133" s="2">
        <v>80869</v>
      </c>
      <c r="L133" s="2">
        <v>4</v>
      </c>
      <c r="M133">
        <f t="shared" ca="1" si="2"/>
        <v>9.131506849315068</v>
      </c>
    </row>
    <row r="134" spans="1:13" x14ac:dyDescent="0.25">
      <c r="A134" s="2" t="s">
        <v>379</v>
      </c>
      <c r="B134" s="2" t="s">
        <v>97</v>
      </c>
      <c r="C134" s="2" t="s">
        <v>37</v>
      </c>
      <c r="D134" s="2" t="s">
        <v>23</v>
      </c>
      <c r="E134" s="2" t="s">
        <v>24</v>
      </c>
      <c r="F134" s="2" t="s">
        <v>17</v>
      </c>
      <c r="G134" s="2">
        <v>38</v>
      </c>
      <c r="H134" s="2" t="s">
        <v>380</v>
      </c>
      <c r="I134" s="2"/>
      <c r="J134" s="2" t="s">
        <v>19</v>
      </c>
      <c r="K134" s="2">
        <v>45897</v>
      </c>
      <c r="L134" s="2">
        <v>3</v>
      </c>
      <c r="M134">
        <f t="shared" ca="1" si="2"/>
        <v>10.021917808219179</v>
      </c>
    </row>
    <row r="135" spans="1:13" x14ac:dyDescent="0.25">
      <c r="A135" s="2" t="s">
        <v>381</v>
      </c>
      <c r="B135" s="2" t="s">
        <v>60</v>
      </c>
      <c r="C135" s="2" t="s">
        <v>31</v>
      </c>
      <c r="D135" s="2" t="s">
        <v>82</v>
      </c>
      <c r="E135" s="2" t="s">
        <v>83</v>
      </c>
      <c r="F135" s="2" t="s">
        <v>17</v>
      </c>
      <c r="G135" s="2">
        <v>54</v>
      </c>
      <c r="H135" s="2" t="s">
        <v>382</v>
      </c>
      <c r="I135" s="2"/>
      <c r="J135" s="2" t="s">
        <v>19</v>
      </c>
      <c r="K135" s="2">
        <v>78405</v>
      </c>
      <c r="L135" s="2">
        <v>3</v>
      </c>
      <c r="M135">
        <f t="shared" ca="1" si="2"/>
        <v>3.9479452054794519</v>
      </c>
    </row>
    <row r="136" spans="1:13" x14ac:dyDescent="0.25">
      <c r="A136" s="2" t="s">
        <v>383</v>
      </c>
      <c r="B136" s="2" t="s">
        <v>40</v>
      </c>
      <c r="C136" s="2" t="s">
        <v>94</v>
      </c>
      <c r="D136" s="2" t="s">
        <v>62</v>
      </c>
      <c r="E136" s="2" t="s">
        <v>195</v>
      </c>
      <c r="F136" s="2" t="s">
        <v>17</v>
      </c>
      <c r="G136" s="2">
        <v>23</v>
      </c>
      <c r="H136" s="2" t="s">
        <v>384</v>
      </c>
      <c r="I136" s="2"/>
      <c r="J136" s="2" t="s">
        <v>19</v>
      </c>
      <c r="K136" s="2">
        <v>55580</v>
      </c>
      <c r="L136" s="2">
        <v>3</v>
      </c>
      <c r="M136">
        <f t="shared" ca="1" si="2"/>
        <v>9.9260273972602739</v>
      </c>
    </row>
    <row r="137" spans="1:13" x14ac:dyDescent="0.25">
      <c r="A137" s="2" t="s">
        <v>385</v>
      </c>
      <c r="B137" s="2" t="s">
        <v>60</v>
      </c>
      <c r="C137" s="2" t="s">
        <v>31</v>
      </c>
      <c r="D137" s="2" t="s">
        <v>23</v>
      </c>
      <c r="E137" s="2" t="s">
        <v>24</v>
      </c>
      <c r="F137" s="2" t="s">
        <v>17</v>
      </c>
      <c r="G137" s="2">
        <v>42</v>
      </c>
      <c r="H137" s="2" t="s">
        <v>386</v>
      </c>
      <c r="I137" s="2"/>
      <c r="J137" s="2" t="s">
        <v>19</v>
      </c>
      <c r="K137" s="2">
        <v>40076</v>
      </c>
      <c r="L137" s="2">
        <v>2</v>
      </c>
      <c r="M137">
        <f t="shared" ca="1" si="2"/>
        <v>3.7835616438356166</v>
      </c>
    </row>
    <row r="138" spans="1:13" x14ac:dyDescent="0.25">
      <c r="A138" s="2" t="s">
        <v>387</v>
      </c>
      <c r="B138" s="2" t="s">
        <v>70</v>
      </c>
      <c r="C138" s="2" t="s">
        <v>141</v>
      </c>
      <c r="D138" s="2" t="s">
        <v>32</v>
      </c>
      <c r="E138" s="2" t="s">
        <v>33</v>
      </c>
      <c r="F138" s="2" t="s">
        <v>25</v>
      </c>
      <c r="G138" s="2">
        <v>51</v>
      </c>
      <c r="H138" s="2" t="s">
        <v>388</v>
      </c>
      <c r="I138" s="2" t="s">
        <v>389</v>
      </c>
      <c r="J138" s="2" t="s">
        <v>28</v>
      </c>
      <c r="K138" s="2">
        <v>48624</v>
      </c>
      <c r="L138" s="2">
        <v>4</v>
      </c>
      <c r="M138">
        <f t="shared" ca="1" si="2"/>
        <v>4.9369863013698634</v>
      </c>
    </row>
    <row r="139" spans="1:13" x14ac:dyDescent="0.25">
      <c r="A139" s="2" t="s">
        <v>390</v>
      </c>
      <c r="B139" s="2" t="s">
        <v>51</v>
      </c>
      <c r="C139" s="2" t="s">
        <v>148</v>
      </c>
      <c r="D139" s="2" t="s">
        <v>47</v>
      </c>
      <c r="E139" s="2" t="s">
        <v>48</v>
      </c>
      <c r="F139" s="2" t="s">
        <v>17</v>
      </c>
      <c r="G139" s="2">
        <v>49</v>
      </c>
      <c r="H139" s="2" t="s">
        <v>391</v>
      </c>
      <c r="I139" s="2"/>
      <c r="J139" s="2" t="s">
        <v>19</v>
      </c>
      <c r="K139" s="2">
        <v>39779</v>
      </c>
      <c r="L139" s="2">
        <v>3</v>
      </c>
      <c r="M139">
        <f t="shared" ca="1" si="2"/>
        <v>5.5424657534246577</v>
      </c>
    </row>
    <row r="140" spans="1:13" x14ac:dyDescent="0.25">
      <c r="A140" s="2" t="s">
        <v>392</v>
      </c>
      <c r="B140" s="2" t="s">
        <v>70</v>
      </c>
      <c r="C140" s="2" t="s">
        <v>130</v>
      </c>
      <c r="D140" s="2" t="s">
        <v>47</v>
      </c>
      <c r="E140" s="2" t="s">
        <v>48</v>
      </c>
      <c r="F140" s="2" t="s">
        <v>25</v>
      </c>
      <c r="G140" s="2">
        <v>42</v>
      </c>
      <c r="H140" s="2" t="s">
        <v>393</v>
      </c>
      <c r="I140" s="2"/>
      <c r="J140" s="2" t="s">
        <v>19</v>
      </c>
      <c r="K140" s="2">
        <v>43897</v>
      </c>
      <c r="L140" s="2">
        <v>3</v>
      </c>
      <c r="M140">
        <f t="shared" ca="1" si="2"/>
        <v>5.8191780821917805</v>
      </c>
    </row>
    <row r="141" spans="1:13" x14ac:dyDescent="0.25">
      <c r="A141" s="2" t="s">
        <v>394</v>
      </c>
      <c r="B141" s="2" t="s">
        <v>57</v>
      </c>
      <c r="C141" s="2" t="s">
        <v>101</v>
      </c>
      <c r="D141" s="2" t="s">
        <v>23</v>
      </c>
      <c r="E141" s="2" t="s">
        <v>24</v>
      </c>
      <c r="F141" s="2" t="s">
        <v>17</v>
      </c>
      <c r="G141" s="2">
        <v>27</v>
      </c>
      <c r="H141" s="2" t="s">
        <v>395</v>
      </c>
      <c r="I141" s="2"/>
      <c r="J141" s="2" t="s">
        <v>19</v>
      </c>
      <c r="K141" s="2">
        <v>40582</v>
      </c>
      <c r="L141" s="2">
        <v>4</v>
      </c>
      <c r="M141">
        <f t="shared" ca="1" si="2"/>
        <v>9.5643835616438349</v>
      </c>
    </row>
    <row r="142" spans="1:13" x14ac:dyDescent="0.25">
      <c r="A142" s="2" t="s">
        <v>396</v>
      </c>
      <c r="B142" s="2" t="s">
        <v>176</v>
      </c>
      <c r="C142" s="2" t="s">
        <v>173</v>
      </c>
      <c r="D142" s="2" t="s">
        <v>32</v>
      </c>
      <c r="E142" s="2" t="s">
        <v>41</v>
      </c>
      <c r="F142" s="2" t="s">
        <v>25</v>
      </c>
      <c r="G142" s="2">
        <v>59</v>
      </c>
      <c r="H142" s="2" t="s">
        <v>397</v>
      </c>
      <c r="I142" s="2" t="s">
        <v>398</v>
      </c>
      <c r="J142" s="2" t="s">
        <v>28</v>
      </c>
      <c r="K142" s="2">
        <v>65977</v>
      </c>
      <c r="L142" s="2">
        <v>2</v>
      </c>
      <c r="M142">
        <f t="shared" ca="1" si="2"/>
        <v>4.3068493150684928</v>
      </c>
    </row>
    <row r="143" spans="1:13" x14ac:dyDescent="0.25">
      <c r="A143" s="2" t="s">
        <v>399</v>
      </c>
      <c r="B143" s="2" t="s">
        <v>93</v>
      </c>
      <c r="C143" s="2" t="s">
        <v>130</v>
      </c>
      <c r="D143" s="2" t="s">
        <v>82</v>
      </c>
      <c r="E143" s="2" t="s">
        <v>102</v>
      </c>
      <c r="F143" s="2" t="s">
        <v>25</v>
      </c>
      <c r="G143" s="2">
        <v>40</v>
      </c>
      <c r="H143" s="2" t="s">
        <v>400</v>
      </c>
      <c r="I143" s="2"/>
      <c r="J143" s="2" t="s">
        <v>19</v>
      </c>
      <c r="K143" s="2">
        <v>52761</v>
      </c>
      <c r="L143" s="2">
        <v>2</v>
      </c>
      <c r="M143">
        <f t="shared" ca="1" si="2"/>
        <v>3.871232876712329</v>
      </c>
    </row>
    <row r="144" spans="1:13" x14ac:dyDescent="0.25">
      <c r="A144" s="2" t="s">
        <v>401</v>
      </c>
      <c r="B144" s="2" t="s">
        <v>80</v>
      </c>
      <c r="C144" s="2" t="s">
        <v>101</v>
      </c>
      <c r="D144" s="2" t="s">
        <v>15</v>
      </c>
      <c r="E144" s="2" t="s">
        <v>16</v>
      </c>
      <c r="F144" s="2" t="s">
        <v>17</v>
      </c>
      <c r="G144" s="2">
        <v>44</v>
      </c>
      <c r="H144" s="2" t="s">
        <v>402</v>
      </c>
      <c r="I144" s="2" t="s">
        <v>403</v>
      </c>
      <c r="J144" s="2" t="s">
        <v>28</v>
      </c>
      <c r="K144" s="2">
        <v>43882</v>
      </c>
      <c r="L144" s="2">
        <v>4</v>
      </c>
      <c r="M144">
        <f t="shared" ca="1" si="2"/>
        <v>1.1232876712328768</v>
      </c>
    </row>
    <row r="145" spans="1:13" x14ac:dyDescent="0.25">
      <c r="A145" s="2" t="s">
        <v>404</v>
      </c>
      <c r="B145" s="2" t="s">
        <v>66</v>
      </c>
      <c r="C145" s="2" t="s">
        <v>130</v>
      </c>
      <c r="D145" s="2" t="s">
        <v>82</v>
      </c>
      <c r="E145" s="2" t="s">
        <v>102</v>
      </c>
      <c r="F145" s="2" t="s">
        <v>17</v>
      </c>
      <c r="G145" s="2">
        <v>60</v>
      </c>
      <c r="H145" s="2" t="s">
        <v>405</v>
      </c>
      <c r="I145" s="2"/>
      <c r="J145" s="2" t="s">
        <v>19</v>
      </c>
      <c r="K145" s="2">
        <v>47474</v>
      </c>
      <c r="L145" s="2">
        <v>3</v>
      </c>
      <c r="M145">
        <f t="shared" ca="1" si="2"/>
        <v>3.2273972602739724</v>
      </c>
    </row>
    <row r="146" spans="1:13" x14ac:dyDescent="0.25">
      <c r="A146" s="2" t="s">
        <v>406</v>
      </c>
      <c r="B146" s="2" t="s">
        <v>75</v>
      </c>
      <c r="C146" s="2" t="s">
        <v>37</v>
      </c>
      <c r="D146" s="2" t="s">
        <v>62</v>
      </c>
      <c r="E146" s="2" t="s">
        <v>170</v>
      </c>
      <c r="F146" s="2" t="s">
        <v>25</v>
      </c>
      <c r="G146" s="2">
        <v>33</v>
      </c>
      <c r="H146" s="2" t="s">
        <v>407</v>
      </c>
      <c r="I146" s="2"/>
      <c r="J146" s="2" t="s">
        <v>19</v>
      </c>
      <c r="K146" s="2">
        <v>71278</v>
      </c>
      <c r="L146" s="2">
        <v>4</v>
      </c>
      <c r="M146">
        <f t="shared" ca="1" si="2"/>
        <v>0.84931506849315064</v>
      </c>
    </row>
    <row r="147" spans="1:13" x14ac:dyDescent="0.25">
      <c r="A147" s="2" t="s">
        <v>408</v>
      </c>
      <c r="B147" s="2" t="s">
        <v>80</v>
      </c>
      <c r="C147" s="2" t="s">
        <v>22</v>
      </c>
      <c r="D147" s="2" t="s">
        <v>23</v>
      </c>
      <c r="E147" s="2" t="s">
        <v>142</v>
      </c>
      <c r="F147" s="2" t="s">
        <v>17</v>
      </c>
      <c r="G147" s="2">
        <v>55</v>
      </c>
      <c r="H147" s="2" t="s">
        <v>409</v>
      </c>
      <c r="I147" s="2"/>
      <c r="J147" s="2" t="s">
        <v>19</v>
      </c>
      <c r="K147" s="2">
        <v>81878</v>
      </c>
      <c r="L147" s="2">
        <v>3</v>
      </c>
      <c r="M147">
        <f t="shared" ca="1" si="2"/>
        <v>8.1945205479452063</v>
      </c>
    </row>
    <row r="148" spans="1:13" x14ac:dyDescent="0.25">
      <c r="A148" s="2" t="s">
        <v>410</v>
      </c>
      <c r="B148" s="2" t="s">
        <v>235</v>
      </c>
      <c r="C148" s="2" t="s">
        <v>202</v>
      </c>
      <c r="D148" s="2" t="s">
        <v>47</v>
      </c>
      <c r="E148" s="2" t="s">
        <v>157</v>
      </c>
      <c r="F148" s="2" t="s">
        <v>17</v>
      </c>
      <c r="G148" s="2">
        <v>58</v>
      </c>
      <c r="H148" s="2" t="s">
        <v>411</v>
      </c>
      <c r="I148" s="2"/>
      <c r="J148" s="2" t="s">
        <v>19</v>
      </c>
      <c r="K148" s="2">
        <v>43861</v>
      </c>
      <c r="L148" s="2">
        <v>3</v>
      </c>
      <c r="M148">
        <f t="shared" ca="1" si="2"/>
        <v>3.9178082191780823</v>
      </c>
    </row>
    <row r="149" spans="1:13" x14ac:dyDescent="0.25">
      <c r="A149" s="2" t="s">
        <v>412</v>
      </c>
      <c r="B149" s="2" t="s">
        <v>57</v>
      </c>
      <c r="C149" s="2" t="s">
        <v>125</v>
      </c>
      <c r="D149" s="2" t="s">
        <v>62</v>
      </c>
      <c r="E149" s="2" t="s">
        <v>195</v>
      </c>
      <c r="F149" s="2" t="s">
        <v>17</v>
      </c>
      <c r="G149" s="2">
        <v>49</v>
      </c>
      <c r="H149" s="2" t="s">
        <v>413</v>
      </c>
      <c r="I149" s="2" t="s">
        <v>414</v>
      </c>
      <c r="J149" s="2" t="s">
        <v>28</v>
      </c>
      <c r="K149" s="2">
        <v>55785</v>
      </c>
      <c r="L149" s="2">
        <v>3</v>
      </c>
      <c r="M149">
        <f t="shared" ca="1" si="2"/>
        <v>5.1589041095890407</v>
      </c>
    </row>
    <row r="150" spans="1:13" x14ac:dyDescent="0.25">
      <c r="A150" s="2" t="s">
        <v>415</v>
      </c>
      <c r="B150" s="2" t="s">
        <v>235</v>
      </c>
      <c r="C150" s="2" t="s">
        <v>130</v>
      </c>
      <c r="D150" s="2" t="s">
        <v>23</v>
      </c>
      <c r="E150" s="2" t="s">
        <v>219</v>
      </c>
      <c r="F150" s="2" t="s">
        <v>17</v>
      </c>
      <c r="G150" s="2">
        <v>59</v>
      </c>
      <c r="H150" s="2" t="s">
        <v>416</v>
      </c>
      <c r="I150" s="2" t="s">
        <v>417</v>
      </c>
      <c r="J150" s="2" t="s">
        <v>28</v>
      </c>
      <c r="K150" s="2">
        <v>57053</v>
      </c>
      <c r="L150" s="2">
        <v>2</v>
      </c>
      <c r="M150">
        <f t="shared" ca="1" si="2"/>
        <v>5.1479452054794521</v>
      </c>
    </row>
    <row r="151" spans="1:13" x14ac:dyDescent="0.25">
      <c r="A151" s="2" t="s">
        <v>418</v>
      </c>
      <c r="B151" s="2" t="s">
        <v>45</v>
      </c>
      <c r="C151" s="2" t="s">
        <v>166</v>
      </c>
      <c r="D151" s="2" t="s">
        <v>23</v>
      </c>
      <c r="E151" s="2" t="s">
        <v>24</v>
      </c>
      <c r="F151" s="2" t="s">
        <v>25</v>
      </c>
      <c r="G151" s="2">
        <v>41</v>
      </c>
      <c r="H151" s="2" t="s">
        <v>419</v>
      </c>
      <c r="I151" s="2"/>
      <c r="J151" s="2" t="s">
        <v>19</v>
      </c>
      <c r="K151" s="2">
        <v>43186</v>
      </c>
      <c r="L151" s="2">
        <v>3</v>
      </c>
      <c r="M151">
        <f t="shared" ca="1" si="2"/>
        <v>8.2383561643835623</v>
      </c>
    </row>
    <row r="152" spans="1:13" x14ac:dyDescent="0.25">
      <c r="A152" s="2" t="s">
        <v>420</v>
      </c>
      <c r="B152" s="2" t="s">
        <v>13</v>
      </c>
      <c r="C152" s="2" t="s">
        <v>101</v>
      </c>
      <c r="D152" s="2" t="s">
        <v>47</v>
      </c>
      <c r="E152" s="2" t="s">
        <v>157</v>
      </c>
      <c r="F152" s="2" t="s">
        <v>17</v>
      </c>
      <c r="G152" s="2">
        <v>33</v>
      </c>
      <c r="H152" s="2" t="s">
        <v>421</v>
      </c>
      <c r="I152" s="2"/>
      <c r="J152" s="2" t="s">
        <v>19</v>
      </c>
      <c r="K152" s="2">
        <v>51725</v>
      </c>
      <c r="L152" s="2">
        <v>4</v>
      </c>
      <c r="M152">
        <f t="shared" ca="1" si="2"/>
        <v>9.1589041095890416</v>
      </c>
    </row>
    <row r="153" spans="1:13" x14ac:dyDescent="0.25">
      <c r="A153" s="2" t="s">
        <v>422</v>
      </c>
      <c r="B153" s="2" t="s">
        <v>248</v>
      </c>
      <c r="C153" s="2" t="s">
        <v>61</v>
      </c>
      <c r="D153" s="2" t="s">
        <v>82</v>
      </c>
      <c r="E153" s="2" t="s">
        <v>102</v>
      </c>
      <c r="F153" s="2" t="s">
        <v>25</v>
      </c>
      <c r="G153" s="2">
        <v>49</v>
      </c>
      <c r="H153" s="2" t="s">
        <v>423</v>
      </c>
      <c r="I153" s="2"/>
      <c r="J153" s="2" t="s">
        <v>19</v>
      </c>
      <c r="K153" s="2">
        <v>48275</v>
      </c>
      <c r="L153" s="2">
        <v>5</v>
      </c>
      <c r="M153">
        <f t="shared" ca="1" si="2"/>
        <v>10.4</v>
      </c>
    </row>
    <row r="154" spans="1:13" x14ac:dyDescent="0.25">
      <c r="A154" s="2" t="s">
        <v>424</v>
      </c>
      <c r="B154" s="2" t="s">
        <v>45</v>
      </c>
      <c r="C154" s="2" t="s">
        <v>61</v>
      </c>
      <c r="D154" s="2" t="s">
        <v>47</v>
      </c>
      <c r="E154" s="2" t="s">
        <v>157</v>
      </c>
      <c r="F154" s="2" t="s">
        <v>25</v>
      </c>
      <c r="G154" s="2">
        <v>40</v>
      </c>
      <c r="H154" s="2" t="s">
        <v>425</v>
      </c>
      <c r="I154" s="2"/>
      <c r="J154" s="2" t="s">
        <v>19</v>
      </c>
      <c r="K154" s="2">
        <v>43341</v>
      </c>
      <c r="L154" s="2">
        <v>5</v>
      </c>
      <c r="M154">
        <f t="shared" ca="1" si="2"/>
        <v>9.3178082191780813</v>
      </c>
    </row>
    <row r="155" spans="1:13" x14ac:dyDescent="0.25">
      <c r="A155" s="2" t="s">
        <v>426</v>
      </c>
      <c r="B155" s="2" t="s">
        <v>66</v>
      </c>
      <c r="C155" s="2" t="s">
        <v>141</v>
      </c>
      <c r="D155" s="2" t="s">
        <v>53</v>
      </c>
      <c r="E155" s="2" t="s">
        <v>126</v>
      </c>
      <c r="F155" s="2" t="s">
        <v>17</v>
      </c>
      <c r="G155" s="2">
        <v>45</v>
      </c>
      <c r="H155" s="2" t="s">
        <v>427</v>
      </c>
      <c r="I155" s="2"/>
      <c r="J155" s="2" t="s">
        <v>19</v>
      </c>
      <c r="K155" s="2">
        <v>68734</v>
      </c>
      <c r="L155" s="2">
        <v>3</v>
      </c>
      <c r="M155">
        <f t="shared" ca="1" si="2"/>
        <v>9.6219178082191785</v>
      </c>
    </row>
    <row r="156" spans="1:13" x14ac:dyDescent="0.25">
      <c r="A156" s="2" t="s">
        <v>428</v>
      </c>
      <c r="B156" s="2" t="s">
        <v>86</v>
      </c>
      <c r="C156" s="2" t="s">
        <v>125</v>
      </c>
      <c r="D156" s="2" t="s">
        <v>53</v>
      </c>
      <c r="E156" s="2" t="s">
        <v>54</v>
      </c>
      <c r="F156" s="2" t="s">
        <v>25</v>
      </c>
      <c r="G156" s="2">
        <v>43</v>
      </c>
      <c r="H156" s="2" t="s">
        <v>429</v>
      </c>
      <c r="I156" s="2"/>
      <c r="J156" s="2" t="s">
        <v>19</v>
      </c>
      <c r="K156" s="2">
        <v>47754</v>
      </c>
      <c r="L156" s="2">
        <v>2</v>
      </c>
      <c r="M156">
        <f t="shared" ca="1" si="2"/>
        <v>8.1232876712328768</v>
      </c>
    </row>
    <row r="157" spans="1:13" x14ac:dyDescent="0.25">
      <c r="A157" s="2" t="s">
        <v>430</v>
      </c>
      <c r="B157" s="2" t="s">
        <v>114</v>
      </c>
      <c r="C157" s="2" t="s">
        <v>94</v>
      </c>
      <c r="D157" s="2" t="s">
        <v>15</v>
      </c>
      <c r="E157" s="2" t="s">
        <v>71</v>
      </c>
      <c r="F157" s="2" t="s">
        <v>17</v>
      </c>
      <c r="G157" s="2">
        <v>44</v>
      </c>
      <c r="H157" s="2" t="s">
        <v>431</v>
      </c>
      <c r="I157" s="2"/>
      <c r="J157" s="2" t="s">
        <v>19</v>
      </c>
      <c r="K157" s="2">
        <v>47871</v>
      </c>
      <c r="L157" s="2">
        <v>2</v>
      </c>
      <c r="M157">
        <f t="shared" ca="1" si="2"/>
        <v>2.4465753424657533</v>
      </c>
    </row>
    <row r="158" spans="1:13" x14ac:dyDescent="0.25">
      <c r="A158" s="2" t="s">
        <v>432</v>
      </c>
      <c r="B158" s="2" t="s">
        <v>30</v>
      </c>
      <c r="C158" s="2" t="s">
        <v>81</v>
      </c>
      <c r="D158" s="2" t="s">
        <v>32</v>
      </c>
      <c r="E158" s="2" t="s">
        <v>41</v>
      </c>
      <c r="F158" s="2" t="s">
        <v>25</v>
      </c>
      <c r="G158" s="2">
        <v>26</v>
      </c>
      <c r="H158" s="2" t="s">
        <v>433</v>
      </c>
      <c r="I158" s="2"/>
      <c r="J158" s="2" t="s">
        <v>19</v>
      </c>
      <c r="K158" s="2">
        <v>62601</v>
      </c>
      <c r="L158" s="2">
        <v>4</v>
      </c>
      <c r="M158">
        <f t="shared" ca="1" si="2"/>
        <v>8.6219178082191785</v>
      </c>
    </row>
    <row r="159" spans="1:13" x14ac:dyDescent="0.25">
      <c r="A159" s="2" t="s">
        <v>434</v>
      </c>
      <c r="B159" s="2" t="s">
        <v>190</v>
      </c>
      <c r="C159" s="2" t="s">
        <v>76</v>
      </c>
      <c r="D159" s="2" t="s">
        <v>47</v>
      </c>
      <c r="E159" s="2" t="s">
        <v>157</v>
      </c>
      <c r="F159" s="2" t="s">
        <v>25</v>
      </c>
      <c r="G159" s="2">
        <v>42</v>
      </c>
      <c r="H159" s="2" t="s">
        <v>435</v>
      </c>
      <c r="I159" s="2"/>
      <c r="J159" s="2" t="s">
        <v>19</v>
      </c>
      <c r="K159" s="2">
        <v>44118</v>
      </c>
      <c r="L159" s="2">
        <v>3</v>
      </c>
      <c r="M159">
        <f t="shared" ca="1" si="2"/>
        <v>8.9150684931506845</v>
      </c>
    </row>
    <row r="160" spans="1:13" x14ac:dyDescent="0.25">
      <c r="A160" s="2" t="s">
        <v>436</v>
      </c>
      <c r="B160" s="2" t="s">
        <v>176</v>
      </c>
      <c r="C160" s="2" t="s">
        <v>14</v>
      </c>
      <c r="D160" s="2" t="s">
        <v>32</v>
      </c>
      <c r="E160" s="2" t="s">
        <v>41</v>
      </c>
      <c r="F160" s="2" t="s">
        <v>25</v>
      </c>
      <c r="G160" s="2">
        <v>44</v>
      </c>
      <c r="H160" s="2" t="s">
        <v>437</v>
      </c>
      <c r="I160" s="2"/>
      <c r="J160" s="2" t="s">
        <v>19</v>
      </c>
      <c r="K160" s="2">
        <v>60085</v>
      </c>
      <c r="L160" s="2">
        <v>3</v>
      </c>
      <c r="M160">
        <f t="shared" ca="1" si="2"/>
        <v>4.9150684931506845</v>
      </c>
    </row>
    <row r="161" spans="1:13" x14ac:dyDescent="0.25">
      <c r="A161" s="2" t="s">
        <v>438</v>
      </c>
      <c r="B161" s="2" t="s">
        <v>13</v>
      </c>
      <c r="C161" s="2" t="s">
        <v>359</v>
      </c>
      <c r="D161" s="2" t="s">
        <v>82</v>
      </c>
      <c r="E161" s="2" t="s">
        <v>83</v>
      </c>
      <c r="F161" s="2" t="s">
        <v>17</v>
      </c>
      <c r="G161" s="2">
        <v>26</v>
      </c>
      <c r="H161" s="2" t="s">
        <v>439</v>
      </c>
      <c r="I161" s="2"/>
      <c r="J161" s="2" t="s">
        <v>19</v>
      </c>
      <c r="K161" s="2">
        <v>81076</v>
      </c>
      <c r="L161" s="2">
        <v>4</v>
      </c>
      <c r="M161">
        <f t="shared" ca="1" si="2"/>
        <v>3.3753424657534246</v>
      </c>
    </row>
    <row r="162" spans="1:13" x14ac:dyDescent="0.25">
      <c r="A162" s="2" t="s">
        <v>440</v>
      </c>
      <c r="B162" s="2" t="s">
        <v>108</v>
      </c>
      <c r="C162" s="2" t="s">
        <v>76</v>
      </c>
      <c r="D162" s="2" t="s">
        <v>32</v>
      </c>
      <c r="E162" s="2" t="s">
        <v>163</v>
      </c>
      <c r="F162" s="2" t="s">
        <v>25</v>
      </c>
      <c r="G162" s="2">
        <v>24</v>
      </c>
      <c r="H162" s="2" t="s">
        <v>441</v>
      </c>
      <c r="I162" s="2" t="s">
        <v>442</v>
      </c>
      <c r="J162" s="2" t="s">
        <v>28</v>
      </c>
      <c r="K162" s="2">
        <v>80084</v>
      </c>
      <c r="L162" s="2">
        <v>3</v>
      </c>
      <c r="M162">
        <f t="shared" ca="1" si="2"/>
        <v>5.5616438356164384</v>
      </c>
    </row>
    <row r="163" spans="1:13" x14ac:dyDescent="0.25">
      <c r="A163" s="2" t="s">
        <v>443</v>
      </c>
      <c r="B163" s="2" t="s">
        <v>86</v>
      </c>
      <c r="C163" s="2" t="s">
        <v>173</v>
      </c>
      <c r="D163" s="2" t="s">
        <v>23</v>
      </c>
      <c r="E163" s="2" t="s">
        <v>219</v>
      </c>
      <c r="F163" s="2" t="s">
        <v>25</v>
      </c>
      <c r="G163" s="2">
        <v>28</v>
      </c>
      <c r="H163" s="2" t="s">
        <v>444</v>
      </c>
      <c r="I163" s="2"/>
      <c r="J163" s="2" t="s">
        <v>19</v>
      </c>
      <c r="K163" s="2">
        <v>53381</v>
      </c>
      <c r="L163" s="2">
        <v>3</v>
      </c>
      <c r="M163">
        <f t="shared" ca="1" si="2"/>
        <v>1.5095890410958903</v>
      </c>
    </row>
    <row r="164" spans="1:13" x14ac:dyDescent="0.25">
      <c r="A164" s="2" t="s">
        <v>445</v>
      </c>
      <c r="B164" s="2" t="s">
        <v>13</v>
      </c>
      <c r="C164" s="2" t="s">
        <v>111</v>
      </c>
      <c r="D164" s="2" t="s">
        <v>47</v>
      </c>
      <c r="E164" s="2" t="s">
        <v>157</v>
      </c>
      <c r="F164" s="2" t="s">
        <v>17</v>
      </c>
      <c r="G164" s="2">
        <v>50</v>
      </c>
      <c r="H164" s="2" t="s">
        <v>446</v>
      </c>
      <c r="I164" s="2" t="s">
        <v>447</v>
      </c>
      <c r="J164" s="2" t="s">
        <v>28</v>
      </c>
      <c r="K164" s="2">
        <v>45600</v>
      </c>
      <c r="L164" s="2">
        <v>3</v>
      </c>
      <c r="M164">
        <f t="shared" ca="1" si="2"/>
        <v>4.7287671232876711</v>
      </c>
    </row>
    <row r="165" spans="1:13" x14ac:dyDescent="0.25">
      <c r="A165" s="2" t="s">
        <v>448</v>
      </c>
      <c r="B165" s="2" t="s">
        <v>70</v>
      </c>
      <c r="C165" s="2" t="s">
        <v>130</v>
      </c>
      <c r="D165" s="2" t="s">
        <v>82</v>
      </c>
      <c r="E165" s="2" t="s">
        <v>83</v>
      </c>
      <c r="F165" s="2" t="s">
        <v>25</v>
      </c>
      <c r="G165" s="2">
        <v>60</v>
      </c>
      <c r="H165" s="2" t="s">
        <v>380</v>
      </c>
      <c r="I165" s="2"/>
      <c r="J165" s="2" t="s">
        <v>19</v>
      </c>
      <c r="K165" s="2">
        <v>72079</v>
      </c>
      <c r="L165" s="2">
        <v>3</v>
      </c>
      <c r="M165">
        <f t="shared" ca="1" si="2"/>
        <v>10.021917808219179</v>
      </c>
    </row>
    <row r="166" spans="1:13" x14ac:dyDescent="0.25">
      <c r="A166" s="2" t="s">
        <v>449</v>
      </c>
      <c r="B166" s="2" t="s">
        <v>151</v>
      </c>
      <c r="C166" s="2" t="s">
        <v>14</v>
      </c>
      <c r="D166" s="2" t="s">
        <v>47</v>
      </c>
      <c r="E166" s="2" t="s">
        <v>48</v>
      </c>
      <c r="F166" s="2" t="s">
        <v>25</v>
      </c>
      <c r="G166" s="2">
        <v>43</v>
      </c>
      <c r="H166" s="2" t="s">
        <v>450</v>
      </c>
      <c r="I166" s="2" t="s">
        <v>451</v>
      </c>
      <c r="J166" s="2" t="s">
        <v>28</v>
      </c>
      <c r="K166" s="2">
        <v>35317</v>
      </c>
      <c r="L166" s="2">
        <v>5</v>
      </c>
      <c r="M166">
        <f t="shared" ca="1" si="2"/>
        <v>9.6958904109589046</v>
      </c>
    </row>
    <row r="167" spans="1:13" x14ac:dyDescent="0.25">
      <c r="A167" s="2" t="s">
        <v>452</v>
      </c>
      <c r="B167" s="2" t="s">
        <v>190</v>
      </c>
      <c r="C167" s="2" t="s">
        <v>61</v>
      </c>
      <c r="D167" s="2" t="s">
        <v>15</v>
      </c>
      <c r="E167" s="2" t="s">
        <v>122</v>
      </c>
      <c r="F167" s="2" t="s">
        <v>25</v>
      </c>
      <c r="G167" s="2">
        <v>27</v>
      </c>
      <c r="H167" s="2" t="s">
        <v>453</v>
      </c>
      <c r="I167" s="2" t="s">
        <v>454</v>
      </c>
      <c r="J167" s="2" t="s">
        <v>28</v>
      </c>
      <c r="K167" s="2">
        <v>82542</v>
      </c>
      <c r="L167" s="2">
        <v>4</v>
      </c>
      <c r="M167">
        <f t="shared" ca="1" si="2"/>
        <v>7.1342465753424653</v>
      </c>
    </row>
    <row r="168" spans="1:13" x14ac:dyDescent="0.25">
      <c r="A168" s="2" t="s">
        <v>455</v>
      </c>
      <c r="B168" s="2" t="s">
        <v>57</v>
      </c>
      <c r="C168" s="2" t="s">
        <v>94</v>
      </c>
      <c r="D168" s="2" t="s">
        <v>23</v>
      </c>
      <c r="E168" s="2" t="s">
        <v>142</v>
      </c>
      <c r="F168" s="2" t="s">
        <v>17</v>
      </c>
      <c r="G168" s="2">
        <v>49</v>
      </c>
      <c r="H168" s="2" t="s">
        <v>456</v>
      </c>
      <c r="I168" s="2"/>
      <c r="J168" s="2" t="s">
        <v>19</v>
      </c>
      <c r="K168" s="2">
        <v>75298</v>
      </c>
      <c r="L168" s="2">
        <v>3</v>
      </c>
      <c r="M168">
        <f t="shared" ca="1" si="2"/>
        <v>4.904109589041096</v>
      </c>
    </row>
    <row r="169" spans="1:13" x14ac:dyDescent="0.25">
      <c r="A169" s="2" t="s">
        <v>457</v>
      </c>
      <c r="B169" s="2" t="s">
        <v>36</v>
      </c>
      <c r="C169" s="2" t="s">
        <v>37</v>
      </c>
      <c r="D169" s="2" t="s">
        <v>82</v>
      </c>
      <c r="E169" s="2" t="s">
        <v>83</v>
      </c>
      <c r="F169" s="2" t="s">
        <v>17</v>
      </c>
      <c r="G169" s="2">
        <v>34</v>
      </c>
      <c r="H169" s="2" t="s">
        <v>458</v>
      </c>
      <c r="I169" s="2"/>
      <c r="J169" s="2" t="s">
        <v>19</v>
      </c>
      <c r="K169" s="2">
        <v>73538</v>
      </c>
      <c r="L169" s="2">
        <v>2</v>
      </c>
      <c r="M169">
        <f t="shared" ca="1" si="2"/>
        <v>8.0684931506849313</v>
      </c>
    </row>
    <row r="170" spans="1:13" x14ac:dyDescent="0.25">
      <c r="A170" s="2" t="s">
        <v>459</v>
      </c>
      <c r="B170" s="2" t="s">
        <v>114</v>
      </c>
      <c r="C170" s="2" t="s">
        <v>148</v>
      </c>
      <c r="D170" s="2" t="s">
        <v>82</v>
      </c>
      <c r="E170" s="2" t="s">
        <v>102</v>
      </c>
      <c r="F170" s="2" t="s">
        <v>17</v>
      </c>
      <c r="G170" s="2">
        <v>43</v>
      </c>
      <c r="H170" s="2" t="s">
        <v>460</v>
      </c>
      <c r="I170" s="2" t="s">
        <v>461</v>
      </c>
      <c r="J170" s="2" t="s">
        <v>28</v>
      </c>
      <c r="K170" s="2">
        <v>56785</v>
      </c>
      <c r="L170" s="2">
        <v>3</v>
      </c>
      <c r="M170">
        <f t="shared" ca="1" si="2"/>
        <v>0.77534246575342469</v>
      </c>
    </row>
    <row r="171" spans="1:13" x14ac:dyDescent="0.25">
      <c r="A171" s="2" t="s">
        <v>462</v>
      </c>
      <c r="B171" s="2" t="s">
        <v>80</v>
      </c>
      <c r="C171" s="2" t="s">
        <v>141</v>
      </c>
      <c r="D171" s="2" t="s">
        <v>82</v>
      </c>
      <c r="E171" s="2" t="s">
        <v>102</v>
      </c>
      <c r="F171" s="2" t="s">
        <v>17</v>
      </c>
      <c r="G171" s="2">
        <v>50</v>
      </c>
      <c r="H171" s="2" t="s">
        <v>463</v>
      </c>
      <c r="I171" s="2"/>
      <c r="J171" s="2" t="s">
        <v>19</v>
      </c>
      <c r="K171" s="2">
        <v>52968</v>
      </c>
      <c r="L171" s="2">
        <v>4</v>
      </c>
      <c r="M171">
        <f t="shared" ca="1" si="2"/>
        <v>10.12054794520548</v>
      </c>
    </row>
    <row r="172" spans="1:13" x14ac:dyDescent="0.25">
      <c r="A172" s="2" t="s">
        <v>464</v>
      </c>
      <c r="B172" s="2" t="s">
        <v>60</v>
      </c>
      <c r="C172" s="2" t="s">
        <v>141</v>
      </c>
      <c r="D172" s="2" t="s">
        <v>62</v>
      </c>
      <c r="E172" s="2" t="s">
        <v>63</v>
      </c>
      <c r="F172" s="2" t="s">
        <v>17</v>
      </c>
      <c r="G172" s="2">
        <v>50</v>
      </c>
      <c r="H172" s="2" t="s">
        <v>465</v>
      </c>
      <c r="I172" s="2" t="s">
        <v>466</v>
      </c>
      <c r="J172" s="2" t="s">
        <v>28</v>
      </c>
      <c r="K172" s="2">
        <v>94070</v>
      </c>
      <c r="L172" s="2">
        <v>5</v>
      </c>
      <c r="M172">
        <f t="shared" ca="1" si="2"/>
        <v>7.9835616438356167</v>
      </c>
    </row>
    <row r="173" spans="1:13" x14ac:dyDescent="0.25">
      <c r="A173" s="2" t="s">
        <v>467</v>
      </c>
      <c r="B173" s="2" t="s">
        <v>75</v>
      </c>
      <c r="C173" s="2" t="s">
        <v>46</v>
      </c>
      <c r="D173" s="2" t="s">
        <v>62</v>
      </c>
      <c r="E173" s="2" t="s">
        <v>63</v>
      </c>
      <c r="F173" s="2" t="s">
        <v>25</v>
      </c>
      <c r="G173" s="2">
        <v>58</v>
      </c>
      <c r="H173" s="2" t="s">
        <v>468</v>
      </c>
      <c r="I173" s="2"/>
      <c r="J173" s="2" t="s">
        <v>19</v>
      </c>
      <c r="K173" s="2">
        <v>93616</v>
      </c>
      <c r="L173" s="2">
        <v>4</v>
      </c>
      <c r="M173">
        <f t="shared" ca="1" si="2"/>
        <v>5.6657534246575345</v>
      </c>
    </row>
    <row r="174" spans="1:13" x14ac:dyDescent="0.25">
      <c r="A174" s="2" t="s">
        <v>469</v>
      </c>
      <c r="B174" s="2" t="s">
        <v>162</v>
      </c>
      <c r="C174" s="2" t="s">
        <v>46</v>
      </c>
      <c r="D174" s="2" t="s">
        <v>82</v>
      </c>
      <c r="E174" s="2" t="s">
        <v>102</v>
      </c>
      <c r="F174" s="2" t="s">
        <v>25</v>
      </c>
      <c r="G174" s="2">
        <v>38</v>
      </c>
      <c r="H174" s="2" t="s">
        <v>470</v>
      </c>
      <c r="I174" s="2"/>
      <c r="J174" s="2" t="s">
        <v>19</v>
      </c>
      <c r="K174" s="2">
        <v>53081</v>
      </c>
      <c r="L174" s="2">
        <v>4</v>
      </c>
      <c r="M174">
        <f t="shared" ca="1" si="2"/>
        <v>10.024657534246575</v>
      </c>
    </row>
    <row r="175" spans="1:13" x14ac:dyDescent="0.25">
      <c r="A175" s="2" t="s">
        <v>471</v>
      </c>
      <c r="B175" s="2" t="s">
        <v>40</v>
      </c>
      <c r="C175" s="2" t="s">
        <v>94</v>
      </c>
      <c r="D175" s="2" t="s">
        <v>82</v>
      </c>
      <c r="E175" s="2" t="s">
        <v>102</v>
      </c>
      <c r="F175" s="2" t="s">
        <v>17</v>
      </c>
      <c r="G175" s="2">
        <v>40</v>
      </c>
      <c r="H175" s="2" t="s">
        <v>472</v>
      </c>
      <c r="I175" s="2"/>
      <c r="J175" s="2" t="s">
        <v>19</v>
      </c>
      <c r="K175" s="2">
        <v>51469</v>
      </c>
      <c r="L175" s="2">
        <v>3</v>
      </c>
      <c r="M175">
        <f t="shared" ca="1" si="2"/>
        <v>9.668493150684931</v>
      </c>
    </row>
    <row r="176" spans="1:13" x14ac:dyDescent="0.25">
      <c r="A176" s="2" t="s">
        <v>473</v>
      </c>
      <c r="B176" s="2" t="s">
        <v>51</v>
      </c>
      <c r="C176" s="2" t="s">
        <v>130</v>
      </c>
      <c r="D176" s="2" t="s">
        <v>23</v>
      </c>
      <c r="E176" s="2" t="s">
        <v>24</v>
      </c>
      <c r="F176" s="2" t="s">
        <v>17</v>
      </c>
      <c r="G176" s="2">
        <v>50</v>
      </c>
      <c r="H176" s="2" t="s">
        <v>474</v>
      </c>
      <c r="I176" s="2"/>
      <c r="J176" s="2" t="s">
        <v>19</v>
      </c>
      <c r="K176" s="2">
        <v>39436</v>
      </c>
      <c r="L176" s="2">
        <v>3</v>
      </c>
      <c r="M176">
        <f t="shared" ca="1" si="2"/>
        <v>0.68219178082191778</v>
      </c>
    </row>
    <row r="177" spans="1:13" x14ac:dyDescent="0.25">
      <c r="A177" s="2" t="s">
        <v>475</v>
      </c>
      <c r="B177" s="2" t="s">
        <v>86</v>
      </c>
      <c r="C177" s="2" t="s">
        <v>359</v>
      </c>
      <c r="D177" s="2" t="s">
        <v>15</v>
      </c>
      <c r="E177" s="2" t="s">
        <v>71</v>
      </c>
      <c r="F177" s="2" t="s">
        <v>25</v>
      </c>
      <c r="G177" s="2">
        <v>27</v>
      </c>
      <c r="H177" s="2" t="s">
        <v>476</v>
      </c>
      <c r="I177" s="2"/>
      <c r="J177" s="2" t="s">
        <v>19</v>
      </c>
      <c r="K177" s="2">
        <v>44461</v>
      </c>
      <c r="L177" s="2">
        <v>3</v>
      </c>
      <c r="M177">
        <f t="shared" ca="1" si="2"/>
        <v>6.4027397260273968</v>
      </c>
    </row>
    <row r="178" spans="1:13" x14ac:dyDescent="0.25">
      <c r="A178" s="2" t="s">
        <v>477</v>
      </c>
      <c r="B178" s="2" t="s">
        <v>51</v>
      </c>
      <c r="C178" s="2" t="s">
        <v>37</v>
      </c>
      <c r="D178" s="2" t="s">
        <v>82</v>
      </c>
      <c r="E178" s="2" t="s">
        <v>102</v>
      </c>
      <c r="F178" s="2" t="s">
        <v>17</v>
      </c>
      <c r="G178" s="2">
        <v>30</v>
      </c>
      <c r="H178" s="2" t="s">
        <v>184</v>
      </c>
      <c r="I178" s="2"/>
      <c r="J178" s="2" t="s">
        <v>19</v>
      </c>
      <c r="K178" s="2">
        <v>54740</v>
      </c>
      <c r="L178" s="2">
        <v>4</v>
      </c>
      <c r="M178">
        <f t="shared" ca="1" si="2"/>
        <v>10.180821917808219</v>
      </c>
    </row>
    <row r="179" spans="1:13" x14ac:dyDescent="0.25">
      <c r="A179" s="2" t="s">
        <v>478</v>
      </c>
      <c r="B179" s="2" t="s">
        <v>66</v>
      </c>
      <c r="C179" s="2" t="s">
        <v>101</v>
      </c>
      <c r="D179" s="2" t="s">
        <v>53</v>
      </c>
      <c r="E179" s="2" t="s">
        <v>126</v>
      </c>
      <c r="F179" s="2" t="s">
        <v>17</v>
      </c>
      <c r="G179" s="2">
        <v>22</v>
      </c>
      <c r="H179" s="2" t="s">
        <v>479</v>
      </c>
      <c r="I179" s="2"/>
      <c r="J179" s="2" t="s">
        <v>19</v>
      </c>
      <c r="K179" s="2">
        <v>71193</v>
      </c>
      <c r="L179" s="2">
        <v>3</v>
      </c>
      <c r="M179">
        <f t="shared" ca="1" si="2"/>
        <v>9.7205479452054799</v>
      </c>
    </row>
    <row r="180" spans="1:13" x14ac:dyDescent="0.25">
      <c r="A180" s="2" t="s">
        <v>480</v>
      </c>
      <c r="B180" s="2" t="s">
        <v>114</v>
      </c>
      <c r="C180" s="2" t="s">
        <v>141</v>
      </c>
      <c r="D180" s="2" t="s">
        <v>32</v>
      </c>
      <c r="E180" s="2" t="s">
        <v>33</v>
      </c>
      <c r="F180" s="2" t="s">
        <v>17</v>
      </c>
      <c r="G180" s="2">
        <v>29</v>
      </c>
      <c r="H180" s="2" t="s">
        <v>481</v>
      </c>
      <c r="I180" s="2"/>
      <c r="J180" s="2" t="s">
        <v>19</v>
      </c>
      <c r="K180" s="2">
        <v>50893</v>
      </c>
      <c r="L180" s="2">
        <v>3</v>
      </c>
      <c r="M180">
        <f t="shared" ca="1" si="2"/>
        <v>1.8986301369863015</v>
      </c>
    </row>
    <row r="181" spans="1:13" x14ac:dyDescent="0.25">
      <c r="A181" s="2" t="s">
        <v>482</v>
      </c>
      <c r="B181" s="2" t="s">
        <v>36</v>
      </c>
      <c r="C181" s="2" t="s">
        <v>130</v>
      </c>
      <c r="D181" s="2" t="s">
        <v>47</v>
      </c>
      <c r="E181" s="2" t="s">
        <v>157</v>
      </c>
      <c r="F181" s="2" t="s">
        <v>17</v>
      </c>
      <c r="G181" s="2">
        <v>26</v>
      </c>
      <c r="H181" s="2" t="s">
        <v>483</v>
      </c>
      <c r="I181" s="2"/>
      <c r="J181" s="2" t="s">
        <v>19</v>
      </c>
      <c r="K181" s="2">
        <v>52776</v>
      </c>
      <c r="L181" s="2">
        <v>4</v>
      </c>
      <c r="M181">
        <f t="shared" ca="1" si="2"/>
        <v>9.3643835616438356</v>
      </c>
    </row>
    <row r="182" spans="1:13" x14ac:dyDescent="0.25">
      <c r="A182" s="2" t="s">
        <v>484</v>
      </c>
      <c r="B182" s="2" t="s">
        <v>40</v>
      </c>
      <c r="C182" s="2" t="s">
        <v>173</v>
      </c>
      <c r="D182" s="2" t="s">
        <v>62</v>
      </c>
      <c r="E182" s="2" t="s">
        <v>195</v>
      </c>
      <c r="F182" s="2" t="s">
        <v>17</v>
      </c>
      <c r="G182" s="2">
        <v>22</v>
      </c>
      <c r="H182" s="2" t="s">
        <v>485</v>
      </c>
      <c r="I182" s="2"/>
      <c r="J182" s="2" t="s">
        <v>19</v>
      </c>
      <c r="K182" s="2">
        <v>52941</v>
      </c>
      <c r="L182" s="2">
        <v>4</v>
      </c>
      <c r="M182">
        <f t="shared" ca="1" si="2"/>
        <v>3.7095890410958905</v>
      </c>
    </row>
    <row r="183" spans="1:13" x14ac:dyDescent="0.25">
      <c r="A183" s="2" t="s">
        <v>486</v>
      </c>
      <c r="B183" s="2" t="s">
        <v>57</v>
      </c>
      <c r="C183" s="2" t="s">
        <v>125</v>
      </c>
      <c r="D183" s="2" t="s">
        <v>32</v>
      </c>
      <c r="E183" s="2" t="s">
        <v>33</v>
      </c>
      <c r="F183" s="2" t="s">
        <v>17</v>
      </c>
      <c r="G183" s="2">
        <v>26</v>
      </c>
      <c r="H183" s="2" t="s">
        <v>487</v>
      </c>
      <c r="I183" s="2" t="s">
        <v>488</v>
      </c>
      <c r="J183" s="2" t="s">
        <v>28</v>
      </c>
      <c r="K183" s="2">
        <v>55316</v>
      </c>
      <c r="L183" s="2">
        <v>4</v>
      </c>
      <c r="M183">
        <f t="shared" ca="1" si="2"/>
        <v>4.7068493150684931</v>
      </c>
    </row>
    <row r="184" spans="1:13" x14ac:dyDescent="0.25">
      <c r="A184" s="2" t="s">
        <v>489</v>
      </c>
      <c r="B184" s="2" t="s">
        <v>93</v>
      </c>
      <c r="C184" s="2" t="s">
        <v>101</v>
      </c>
      <c r="D184" s="2" t="s">
        <v>23</v>
      </c>
      <c r="E184" s="2" t="s">
        <v>142</v>
      </c>
      <c r="F184" s="2" t="s">
        <v>25</v>
      </c>
      <c r="G184" s="2">
        <v>46</v>
      </c>
      <c r="H184" s="2" t="s">
        <v>490</v>
      </c>
      <c r="I184" s="2"/>
      <c r="J184" s="2" t="s">
        <v>19</v>
      </c>
      <c r="K184" s="2">
        <v>75266</v>
      </c>
      <c r="L184" s="2">
        <v>3</v>
      </c>
      <c r="M184">
        <f t="shared" ca="1" si="2"/>
        <v>6.419178082191781</v>
      </c>
    </row>
    <row r="185" spans="1:13" x14ac:dyDescent="0.25">
      <c r="A185" s="2" t="s">
        <v>491</v>
      </c>
      <c r="B185" s="2" t="s">
        <v>235</v>
      </c>
      <c r="C185" s="2" t="s">
        <v>111</v>
      </c>
      <c r="D185" s="2" t="s">
        <v>47</v>
      </c>
      <c r="E185" s="2" t="s">
        <v>48</v>
      </c>
      <c r="F185" s="2" t="s">
        <v>17</v>
      </c>
      <c r="G185" s="2">
        <v>59</v>
      </c>
      <c r="H185" s="2" t="s">
        <v>492</v>
      </c>
      <c r="I185" s="2"/>
      <c r="J185" s="2" t="s">
        <v>19</v>
      </c>
      <c r="K185" s="2">
        <v>35185</v>
      </c>
      <c r="L185" s="2">
        <v>2</v>
      </c>
      <c r="M185">
        <f t="shared" ca="1" si="2"/>
        <v>2.3589041095890413</v>
      </c>
    </row>
    <row r="186" spans="1:13" x14ac:dyDescent="0.25">
      <c r="A186" s="2" t="s">
        <v>493</v>
      </c>
      <c r="B186" s="2" t="s">
        <v>93</v>
      </c>
      <c r="C186" s="2" t="s">
        <v>81</v>
      </c>
      <c r="D186" s="2" t="s">
        <v>82</v>
      </c>
      <c r="E186" s="2" t="s">
        <v>83</v>
      </c>
      <c r="F186" s="2" t="s">
        <v>25</v>
      </c>
      <c r="G186" s="2">
        <v>52</v>
      </c>
      <c r="H186" s="2" t="s">
        <v>494</v>
      </c>
      <c r="I186" s="2"/>
      <c r="J186" s="2" t="s">
        <v>19</v>
      </c>
      <c r="K186" s="2">
        <v>73209</v>
      </c>
      <c r="L186" s="2">
        <v>2</v>
      </c>
      <c r="M186">
        <f t="shared" ca="1" si="2"/>
        <v>3.5205479452054793</v>
      </c>
    </row>
    <row r="187" spans="1:13" x14ac:dyDescent="0.25">
      <c r="A187" s="2" t="s">
        <v>495</v>
      </c>
      <c r="B187" s="2" t="s">
        <v>21</v>
      </c>
      <c r="C187" s="2" t="s">
        <v>202</v>
      </c>
      <c r="D187" s="2" t="s">
        <v>15</v>
      </c>
      <c r="E187" s="2" t="s">
        <v>16</v>
      </c>
      <c r="F187" s="2" t="s">
        <v>25</v>
      </c>
      <c r="G187" s="2">
        <v>34</v>
      </c>
      <c r="H187" s="2" t="s">
        <v>496</v>
      </c>
      <c r="I187" s="2"/>
      <c r="J187" s="2" t="s">
        <v>19</v>
      </c>
      <c r="K187" s="2">
        <v>47170</v>
      </c>
      <c r="L187" s="2">
        <v>5</v>
      </c>
      <c r="M187">
        <f t="shared" ca="1" si="2"/>
        <v>0.66849315068493154</v>
      </c>
    </row>
    <row r="188" spans="1:13" x14ac:dyDescent="0.25">
      <c r="A188" s="2" t="s">
        <v>497</v>
      </c>
      <c r="B188" s="2" t="s">
        <v>93</v>
      </c>
      <c r="C188" s="2" t="s">
        <v>148</v>
      </c>
      <c r="D188" s="2" t="s">
        <v>53</v>
      </c>
      <c r="E188" s="2" t="s">
        <v>54</v>
      </c>
      <c r="F188" s="2" t="s">
        <v>25</v>
      </c>
      <c r="G188" s="2">
        <v>24</v>
      </c>
      <c r="H188" s="2" t="s">
        <v>498</v>
      </c>
      <c r="I188" s="2"/>
      <c r="J188" s="2" t="s">
        <v>19</v>
      </c>
      <c r="K188" s="2">
        <v>49687</v>
      </c>
      <c r="L188" s="2">
        <v>3</v>
      </c>
      <c r="M188">
        <f t="shared" ca="1" si="2"/>
        <v>2.1561643835616437</v>
      </c>
    </row>
    <row r="189" spans="1:13" x14ac:dyDescent="0.25">
      <c r="A189" s="2" t="s">
        <v>499</v>
      </c>
      <c r="B189" s="2" t="s">
        <v>51</v>
      </c>
      <c r="C189" s="2" t="s">
        <v>37</v>
      </c>
      <c r="D189" s="2" t="s">
        <v>62</v>
      </c>
      <c r="E189" s="2" t="s">
        <v>170</v>
      </c>
      <c r="F189" s="2" t="s">
        <v>17</v>
      </c>
      <c r="G189" s="2">
        <v>45</v>
      </c>
      <c r="H189" s="2" t="s">
        <v>500</v>
      </c>
      <c r="I189" s="2"/>
      <c r="J189" s="2" t="s">
        <v>19</v>
      </c>
      <c r="K189" s="2">
        <v>69204</v>
      </c>
      <c r="L189" s="2">
        <v>5</v>
      </c>
      <c r="M189">
        <f t="shared" ca="1" si="2"/>
        <v>5.7068493150684931</v>
      </c>
    </row>
    <row r="190" spans="1:13" x14ac:dyDescent="0.25">
      <c r="A190" s="2" t="s">
        <v>501</v>
      </c>
      <c r="B190" s="2" t="s">
        <v>169</v>
      </c>
      <c r="C190" s="2" t="s">
        <v>81</v>
      </c>
      <c r="D190" s="2" t="s">
        <v>53</v>
      </c>
      <c r="E190" s="2" t="s">
        <v>126</v>
      </c>
      <c r="F190" s="2" t="s">
        <v>25</v>
      </c>
      <c r="G190" s="2">
        <v>53</v>
      </c>
      <c r="H190" s="2" t="s">
        <v>502</v>
      </c>
      <c r="I190" s="2" t="s">
        <v>503</v>
      </c>
      <c r="J190" s="2" t="s">
        <v>28</v>
      </c>
      <c r="K190" s="2">
        <v>68353</v>
      </c>
      <c r="L190" s="2">
        <v>4</v>
      </c>
      <c r="M190">
        <f t="shared" ca="1" si="2"/>
        <v>6.4876712328767123</v>
      </c>
    </row>
    <row r="191" spans="1:13" x14ac:dyDescent="0.25">
      <c r="A191" s="2" t="s">
        <v>504</v>
      </c>
      <c r="B191" s="2" t="s">
        <v>133</v>
      </c>
      <c r="C191" s="2" t="s">
        <v>141</v>
      </c>
      <c r="D191" s="2" t="s">
        <v>82</v>
      </c>
      <c r="E191" s="2" t="s">
        <v>102</v>
      </c>
      <c r="F191" s="2" t="s">
        <v>17</v>
      </c>
      <c r="G191" s="2">
        <v>56</v>
      </c>
      <c r="H191" s="2" t="s">
        <v>505</v>
      </c>
      <c r="I191" s="2"/>
      <c r="J191" s="2" t="s">
        <v>19</v>
      </c>
      <c r="K191" s="2">
        <v>48680</v>
      </c>
      <c r="L191" s="2">
        <v>2</v>
      </c>
      <c r="M191">
        <f t="shared" ca="1" si="2"/>
        <v>7.3123287671232875</v>
      </c>
    </row>
    <row r="192" spans="1:13" x14ac:dyDescent="0.25">
      <c r="A192" s="2" t="s">
        <v>506</v>
      </c>
      <c r="B192" s="2" t="s">
        <v>151</v>
      </c>
      <c r="C192" s="2" t="s">
        <v>31</v>
      </c>
      <c r="D192" s="2" t="s">
        <v>32</v>
      </c>
      <c r="E192" s="2" t="s">
        <v>163</v>
      </c>
      <c r="F192" s="2" t="s">
        <v>25</v>
      </c>
      <c r="G192" s="2">
        <v>49</v>
      </c>
      <c r="H192" s="2" t="s">
        <v>507</v>
      </c>
      <c r="I192" s="2"/>
      <c r="J192" s="2" t="s">
        <v>19</v>
      </c>
      <c r="K192" s="2">
        <v>82759</v>
      </c>
      <c r="L192" s="2">
        <v>3</v>
      </c>
      <c r="M192">
        <f t="shared" ca="1" si="2"/>
        <v>8.7397260273972606</v>
      </c>
    </row>
    <row r="193" spans="1:13" x14ac:dyDescent="0.25">
      <c r="A193" s="2" t="s">
        <v>508</v>
      </c>
      <c r="B193" s="2" t="s">
        <v>45</v>
      </c>
      <c r="C193" s="2" t="s">
        <v>130</v>
      </c>
      <c r="D193" s="2" t="s">
        <v>62</v>
      </c>
      <c r="E193" s="2" t="s">
        <v>63</v>
      </c>
      <c r="F193" s="2" t="s">
        <v>25</v>
      </c>
      <c r="G193" s="2">
        <v>25</v>
      </c>
      <c r="H193" s="2" t="s">
        <v>509</v>
      </c>
      <c r="I193" s="2"/>
      <c r="J193" s="2" t="s">
        <v>19</v>
      </c>
      <c r="K193" s="2">
        <v>94952</v>
      </c>
      <c r="L193" s="2">
        <v>3</v>
      </c>
      <c r="M193">
        <f t="shared" ca="1" si="2"/>
        <v>9.7671232876712324</v>
      </c>
    </row>
    <row r="194" spans="1:13" x14ac:dyDescent="0.25">
      <c r="A194" s="2" t="s">
        <v>510</v>
      </c>
      <c r="B194" s="2" t="s">
        <v>13</v>
      </c>
      <c r="C194" s="2" t="s">
        <v>173</v>
      </c>
      <c r="D194" s="2" t="s">
        <v>82</v>
      </c>
      <c r="E194" s="2" t="s">
        <v>83</v>
      </c>
      <c r="F194" s="2" t="s">
        <v>17</v>
      </c>
      <c r="G194" s="2">
        <v>24</v>
      </c>
      <c r="H194" s="2" t="s">
        <v>511</v>
      </c>
      <c r="I194" s="2"/>
      <c r="J194" s="2" t="s">
        <v>19</v>
      </c>
      <c r="K194" s="2">
        <v>74866</v>
      </c>
      <c r="L194" s="2">
        <v>4</v>
      </c>
      <c r="M194">
        <f t="shared" ca="1" si="2"/>
        <v>9.1917808219178081</v>
      </c>
    </row>
    <row r="195" spans="1:13" x14ac:dyDescent="0.25">
      <c r="A195" s="2" t="s">
        <v>512</v>
      </c>
      <c r="B195" s="2" t="s">
        <v>169</v>
      </c>
      <c r="C195" s="2" t="s">
        <v>61</v>
      </c>
      <c r="D195" s="2" t="s">
        <v>32</v>
      </c>
      <c r="E195" s="2" t="s">
        <v>41</v>
      </c>
      <c r="F195" s="2" t="s">
        <v>25</v>
      </c>
      <c r="G195" s="2">
        <v>60</v>
      </c>
      <c r="H195" s="2" t="s">
        <v>513</v>
      </c>
      <c r="I195" s="2"/>
      <c r="J195" s="2" t="s">
        <v>19</v>
      </c>
      <c r="K195" s="2">
        <v>61077</v>
      </c>
      <c r="L195" s="2">
        <v>3</v>
      </c>
      <c r="M195">
        <f t="shared" ref="M195:M201" ca="1" si="3">(TODAY()-H195)/365</f>
        <v>8.8876712328767127</v>
      </c>
    </row>
    <row r="196" spans="1:13" x14ac:dyDescent="0.25">
      <c r="A196" s="2" t="s">
        <v>514</v>
      </c>
      <c r="B196" s="2" t="s">
        <v>97</v>
      </c>
      <c r="C196" s="2" t="s">
        <v>173</v>
      </c>
      <c r="D196" s="2" t="s">
        <v>32</v>
      </c>
      <c r="E196" s="2" t="s">
        <v>33</v>
      </c>
      <c r="F196" s="2" t="s">
        <v>17</v>
      </c>
      <c r="G196" s="2">
        <v>47</v>
      </c>
      <c r="H196" s="2" t="s">
        <v>515</v>
      </c>
      <c r="I196" s="2"/>
      <c r="J196" s="2" t="s">
        <v>19</v>
      </c>
      <c r="K196" s="2">
        <v>51089</v>
      </c>
      <c r="L196" s="2">
        <v>5</v>
      </c>
      <c r="M196">
        <f t="shared" ca="1" si="3"/>
        <v>7.0821917808219181</v>
      </c>
    </row>
    <row r="197" spans="1:13" x14ac:dyDescent="0.25">
      <c r="A197" s="2" t="s">
        <v>516</v>
      </c>
      <c r="B197" s="2" t="s">
        <v>40</v>
      </c>
      <c r="C197" s="2" t="s">
        <v>81</v>
      </c>
      <c r="D197" s="2" t="s">
        <v>53</v>
      </c>
      <c r="E197" s="2" t="s">
        <v>126</v>
      </c>
      <c r="F197" s="2" t="s">
        <v>17</v>
      </c>
      <c r="G197" s="2">
        <v>46</v>
      </c>
      <c r="H197" s="2" t="s">
        <v>397</v>
      </c>
      <c r="I197" s="2"/>
      <c r="J197" s="2" t="s">
        <v>19</v>
      </c>
      <c r="K197" s="2">
        <v>71288</v>
      </c>
      <c r="L197" s="2">
        <v>4</v>
      </c>
      <c r="M197">
        <f t="shared" ca="1" si="3"/>
        <v>4.3068493150684928</v>
      </c>
    </row>
    <row r="198" spans="1:13" x14ac:dyDescent="0.25">
      <c r="A198" s="2" t="s">
        <v>517</v>
      </c>
      <c r="B198" s="2" t="s">
        <v>30</v>
      </c>
      <c r="C198" s="2" t="s">
        <v>141</v>
      </c>
      <c r="D198" s="2" t="s">
        <v>62</v>
      </c>
      <c r="E198" s="2" t="s">
        <v>63</v>
      </c>
      <c r="F198" s="2" t="s">
        <v>25</v>
      </c>
      <c r="G198" s="2">
        <v>53</v>
      </c>
      <c r="H198" s="2" t="s">
        <v>518</v>
      </c>
      <c r="I198" s="2"/>
      <c r="J198" s="2" t="s">
        <v>19</v>
      </c>
      <c r="K198" s="2">
        <v>91223</v>
      </c>
      <c r="L198" s="2">
        <v>5</v>
      </c>
      <c r="M198">
        <f t="shared" ca="1" si="3"/>
        <v>8.3643835616438356</v>
      </c>
    </row>
    <row r="199" spans="1:13" x14ac:dyDescent="0.25">
      <c r="A199" s="2" t="s">
        <v>519</v>
      </c>
      <c r="B199" s="2" t="s">
        <v>162</v>
      </c>
      <c r="C199" s="2" t="s">
        <v>31</v>
      </c>
      <c r="D199" s="2" t="s">
        <v>23</v>
      </c>
      <c r="E199" s="2" t="s">
        <v>142</v>
      </c>
      <c r="F199" s="2" t="s">
        <v>25</v>
      </c>
      <c r="G199" s="2">
        <v>42</v>
      </c>
      <c r="H199" s="2" t="s">
        <v>520</v>
      </c>
      <c r="I199" s="2"/>
      <c r="J199" s="2" t="s">
        <v>19</v>
      </c>
      <c r="K199" s="2">
        <v>76063</v>
      </c>
      <c r="L199" s="2">
        <v>4</v>
      </c>
      <c r="M199">
        <f t="shared" ca="1" si="3"/>
        <v>3.1150684931506851</v>
      </c>
    </row>
    <row r="200" spans="1:13" x14ac:dyDescent="0.25">
      <c r="A200" s="2" t="s">
        <v>521</v>
      </c>
      <c r="B200" s="2" t="s">
        <v>75</v>
      </c>
      <c r="C200" s="2" t="s">
        <v>202</v>
      </c>
      <c r="D200" s="2" t="s">
        <v>82</v>
      </c>
      <c r="E200" s="2" t="s">
        <v>102</v>
      </c>
      <c r="F200" s="2" t="s">
        <v>25</v>
      </c>
      <c r="G200" s="2">
        <v>33</v>
      </c>
      <c r="H200" s="2" t="s">
        <v>522</v>
      </c>
      <c r="I200" s="2"/>
      <c r="J200" s="2" t="s">
        <v>19</v>
      </c>
      <c r="K200" s="2">
        <v>55335</v>
      </c>
      <c r="L200" s="2">
        <v>3</v>
      </c>
      <c r="M200">
        <f t="shared" ca="1" si="3"/>
        <v>1.704109589041096</v>
      </c>
    </row>
    <row r="201" spans="1:13" x14ac:dyDescent="0.25">
      <c r="A201" s="2" t="s">
        <v>523</v>
      </c>
      <c r="B201" s="2" t="s">
        <v>66</v>
      </c>
      <c r="C201" s="2" t="s">
        <v>173</v>
      </c>
      <c r="D201" s="2" t="s">
        <v>15</v>
      </c>
      <c r="E201" s="2" t="s">
        <v>71</v>
      </c>
      <c r="F201" s="2" t="s">
        <v>17</v>
      </c>
      <c r="G201" s="2">
        <v>23</v>
      </c>
      <c r="H201" s="2" t="s">
        <v>524</v>
      </c>
      <c r="I201" s="2" t="s">
        <v>525</v>
      </c>
      <c r="J201" s="2" t="s">
        <v>28</v>
      </c>
      <c r="K201" s="2">
        <v>50044</v>
      </c>
      <c r="L201" s="2">
        <v>3</v>
      </c>
      <c r="M201">
        <f t="shared" ca="1" si="3"/>
        <v>6.558904109589041</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
  <sheetViews>
    <sheetView showGridLines="0" tabSelected="1" zoomScale="80" zoomScaleNormal="80" workbookViewId="0">
      <selection activeCell="S16" sqref="S16"/>
    </sheetView>
  </sheetViews>
  <sheetFormatPr defaultRowHeight="15" x14ac:dyDescent="0.25"/>
  <cols>
    <col min="1" max="1" width="29.140625" customWidth="1"/>
    <col min="2" max="2" width="12.42578125" customWidth="1"/>
    <col min="4" max="4" width="19.140625" customWidth="1"/>
    <col min="5" max="5" width="31.140625" customWidth="1"/>
    <col min="6" max="6" width="13" customWidth="1"/>
    <col min="7" max="7" width="9.85546875" bestFit="1" customWidth="1"/>
    <col min="8" max="8" width="17.28515625" customWidth="1"/>
    <col min="9" max="9" width="13" bestFit="1" customWidth="1"/>
    <col min="10" max="10" width="10.85546875" bestFit="1" customWidth="1"/>
    <col min="11" max="11" width="13" bestFit="1" customWidth="1"/>
    <col min="12" max="12" width="11.5703125" bestFit="1" customWidth="1"/>
  </cols>
  <sheetData>
    <row r="1" spans="1:5" ht="25.5" x14ac:dyDescent="0.35">
      <c r="A1" s="6" t="s">
        <v>527</v>
      </c>
      <c r="B1" s="10">
        <f>COUNTIFS(Table1[EmploymentStatus],"Active")</f>
        <v>156</v>
      </c>
      <c r="D1" s="3" t="s">
        <v>529</v>
      </c>
      <c r="E1" t="s">
        <v>536</v>
      </c>
    </row>
    <row r="2" spans="1:5" ht="25.5" x14ac:dyDescent="0.35">
      <c r="A2" s="6" t="s">
        <v>528</v>
      </c>
      <c r="B2" s="8">
        <f>COUNTIFS(Table1[EmploymentStatus],"Terminated")/COUNTA(Table1[EmployeeID])</f>
        <v>0.22</v>
      </c>
      <c r="D2" s="4" t="s">
        <v>47</v>
      </c>
      <c r="E2" s="5">
        <v>44325.413793103449</v>
      </c>
    </row>
    <row r="3" spans="1:5" x14ac:dyDescent="0.25">
      <c r="D3" s="4" t="s">
        <v>62</v>
      </c>
      <c r="E3" s="5">
        <v>72146.370370370365</v>
      </c>
    </row>
    <row r="4" spans="1:5" ht="25.5" x14ac:dyDescent="0.35">
      <c r="A4" s="6" t="s">
        <v>531</v>
      </c>
      <c r="B4" s="9">
        <f ca="1">AVERAGEIFS(Table1[TenureYears],Table1[EmploymentStatus],"Active")</f>
        <v>5.7837723919915742</v>
      </c>
      <c r="D4" s="4" t="s">
        <v>32</v>
      </c>
      <c r="E4" s="5">
        <v>63969.120000000003</v>
      </c>
    </row>
    <row r="5" spans="1:5" x14ac:dyDescent="0.25">
      <c r="D5" s="4" t="s">
        <v>53</v>
      </c>
      <c r="E5" s="5">
        <v>54989.08</v>
      </c>
    </row>
    <row r="6" spans="1:5" ht="25.5" x14ac:dyDescent="0.35">
      <c r="A6" s="6" t="s">
        <v>532</v>
      </c>
      <c r="B6" s="11">
        <f>COUNTIFS(Table1[Gender],"Female",Table1[EmploymentStatus],"Active")/$B$1</f>
        <v>0.50641025641025639</v>
      </c>
      <c r="D6" s="4" t="s">
        <v>15</v>
      </c>
      <c r="E6" s="5">
        <v>55320.909090909088</v>
      </c>
    </row>
    <row r="7" spans="1:5" ht="25.5" x14ac:dyDescent="0.35">
      <c r="A7" s="7" t="s">
        <v>533</v>
      </c>
      <c r="B7" s="11">
        <f>COUNTIFS(Table1[Gender],"Male",Table1[EmploymentStatus],"Active")/$B$1</f>
        <v>0.49358974358974361</v>
      </c>
      <c r="D7" s="4" t="s">
        <v>82</v>
      </c>
      <c r="E7" s="5">
        <v>64724.1</v>
      </c>
    </row>
    <row r="8" spans="1:5" x14ac:dyDescent="0.25">
      <c r="D8" s="4" t="s">
        <v>23</v>
      </c>
      <c r="E8" s="5">
        <v>59425.78125</v>
      </c>
    </row>
    <row r="9" spans="1:5" x14ac:dyDescent="0.25">
      <c r="A9" t="s">
        <v>534</v>
      </c>
      <c r="B9" t="s">
        <v>535</v>
      </c>
      <c r="D9" s="4" t="s">
        <v>530</v>
      </c>
      <c r="E9" s="5">
        <v>59574.964999999997</v>
      </c>
    </row>
    <row r="10" spans="1:5" x14ac:dyDescent="0.25">
      <c r="A10">
        <v>1</v>
      </c>
      <c r="B10">
        <f>COUNTIFS(Table1[PerformanceRating],A10)</f>
        <v>6</v>
      </c>
    </row>
    <row r="11" spans="1:5" x14ac:dyDescent="0.25">
      <c r="A11">
        <v>2</v>
      </c>
      <c r="B11">
        <f>COUNTIFS(Table1[PerformanceRating],A11)</f>
        <v>22</v>
      </c>
    </row>
    <row r="12" spans="1:5" x14ac:dyDescent="0.25">
      <c r="A12">
        <v>3</v>
      </c>
      <c r="B12">
        <f>COUNTIFS(Table1[PerformanceRating],A12)</f>
        <v>77</v>
      </c>
    </row>
    <row r="13" spans="1:5" x14ac:dyDescent="0.25">
      <c r="A13">
        <v>4</v>
      </c>
      <c r="B13">
        <f>COUNTIFS(Table1[PerformanceRating],A13)</f>
        <v>63</v>
      </c>
    </row>
    <row r="14" spans="1:5" x14ac:dyDescent="0.25">
      <c r="A14">
        <v>5</v>
      </c>
      <c r="B14">
        <f>COUNTIFS(Table1[PerformanceRating],A14)</f>
        <v>32</v>
      </c>
    </row>
  </sheetData>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Raw Data</vt:lpstr>
      <vt:lpstr>Dashboard</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The Moor</cp:lastModifiedBy>
  <cp:lastPrinted>2026-08-08T00:45:16Z</cp:lastPrinted>
  <dcterms:created xsi:type="dcterms:W3CDTF">2026-07-28T02:53:39Z</dcterms:created>
  <dcterms:modified xsi:type="dcterms:W3CDTF">2026-08-08T04:03:12Z</dcterms:modified>
</cp:coreProperties>
</file>